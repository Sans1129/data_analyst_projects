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ATA ANALYST PROJECTS\"/>
    </mc:Choice>
  </mc:AlternateContent>
  <xr:revisionPtr revIDLastSave="0" documentId="13_ncr:1_{2A929D0E-69C7-44D2-8120-4F56471669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5" sheetId="5" r:id="rId3"/>
  </sheets>
  <definedNames>
    <definedName name="_xlcn.WorksheetConnection_Office_Chair_Sales_A1_to_L841.xlsxTable11" hidden="1">Table1[]</definedName>
  </definedNames>
  <calcPr calcId="191029"/>
  <pivotCaches>
    <pivotCache cacheId="19" r:id="rId4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Office_Chair_Sales_A1_to_L84 (1)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0FD131-BAF0-4FD4-81FD-20876389766A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3E16ACA-90C9-4D74-8583-B0625732265E}" name="WorksheetConnection_Office_Chair_Sales_A1_to_L84 (1).xlsx!Table1" type="102" refreshedVersion="7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Office_Chair_Sales_A1_to_L841.xlsxTable11"/>
        </x15:connection>
      </ext>
    </extLst>
  </connection>
</connections>
</file>

<file path=xl/sharedStrings.xml><?xml version="1.0" encoding="utf-8"?>
<sst xmlns="http://schemas.openxmlformats.org/spreadsheetml/2006/main" count="574" uniqueCount="140">
  <si>
    <t>Num</t>
  </si>
  <si>
    <t>Date</t>
  </si>
  <si>
    <t>Month</t>
  </si>
  <si>
    <t>Sales Rep</t>
  </si>
  <si>
    <t>Region</t>
  </si>
  <si>
    <t>Customer ID</t>
  </si>
  <si>
    <t>Model</t>
  </si>
  <si>
    <t>Color</t>
  </si>
  <si>
    <t>Item Code</t>
  </si>
  <si>
    <t>Number</t>
  </si>
  <si>
    <t>Price / Unit</t>
  </si>
  <si>
    <t>Total</t>
  </si>
  <si>
    <t>1/2/2020</t>
  </si>
  <si>
    <t>1/6/2020</t>
  </si>
  <si>
    <t>1/9/2020</t>
  </si>
  <si>
    <t>1/12/2020</t>
  </si>
  <si>
    <t>1/15/2020</t>
  </si>
  <si>
    <t>1/18/2020</t>
  </si>
  <si>
    <t>1/22/2020</t>
  </si>
  <si>
    <t>1/26/2020</t>
  </si>
  <si>
    <t>1/28/2020</t>
  </si>
  <si>
    <t>2/4/2020</t>
  </si>
  <si>
    <t>2/7/2020</t>
  </si>
  <si>
    <t>2/8/2020</t>
  </si>
  <si>
    <t>2/10/2020</t>
  </si>
  <si>
    <t>2/12/2020</t>
  </si>
  <si>
    <t>2/14/2020</t>
  </si>
  <si>
    <t>2/15/2020</t>
  </si>
  <si>
    <t>2/19/2020</t>
  </si>
  <si>
    <t>2/21/2020</t>
  </si>
  <si>
    <t>2/26/2020</t>
  </si>
  <si>
    <t>2/28/2020</t>
  </si>
  <si>
    <t>3/1/2020</t>
  </si>
  <si>
    <t>3/4/2020</t>
  </si>
  <si>
    <t>3/7/2020</t>
  </si>
  <si>
    <t>3/9/2020</t>
  </si>
  <si>
    <t>3/11/2020</t>
  </si>
  <si>
    <t>January</t>
  </si>
  <si>
    <t>February</t>
  </si>
  <si>
    <t>March</t>
  </si>
  <si>
    <t>Eric Jones</t>
  </si>
  <si>
    <t>Amy Brown</t>
  </si>
  <si>
    <t>Sara Davis</t>
  </si>
  <si>
    <t>Marc Williams</t>
  </si>
  <si>
    <t>Stacy Peters</t>
  </si>
  <si>
    <t>David Garcia</t>
  </si>
  <si>
    <t>Emily Moore</t>
  </si>
  <si>
    <t>North</t>
  </si>
  <si>
    <t>West</t>
  </si>
  <si>
    <t>South</t>
  </si>
  <si>
    <t>Flash</t>
  </si>
  <si>
    <t>Urban</t>
  </si>
  <si>
    <t>Energy</t>
  </si>
  <si>
    <t>Volt</t>
  </si>
  <si>
    <t>Cosmo</t>
  </si>
  <si>
    <t>Aero</t>
  </si>
  <si>
    <t>black</t>
  </si>
  <si>
    <t>red</t>
  </si>
  <si>
    <t>brown</t>
  </si>
  <si>
    <t>gray</t>
  </si>
  <si>
    <t>white</t>
  </si>
  <si>
    <t>F2248bl</t>
  </si>
  <si>
    <t>U2638rd</t>
  </si>
  <si>
    <t>E2376bl</t>
  </si>
  <si>
    <t>F2248br</t>
  </si>
  <si>
    <t>V2944gr</t>
  </si>
  <si>
    <t>E2376br</t>
  </si>
  <si>
    <t>C2699wh</t>
  </si>
  <si>
    <t>U2638br</t>
  </si>
  <si>
    <t>V2944wh</t>
  </si>
  <si>
    <t>C2699gr</t>
  </si>
  <si>
    <t>E2376wh</t>
  </si>
  <si>
    <t>A2258rd</t>
  </si>
  <si>
    <t>V2944bl</t>
  </si>
  <si>
    <t>C2699bl</t>
  </si>
  <si>
    <t>U2638bl</t>
  </si>
  <si>
    <t>F2248wh</t>
  </si>
  <si>
    <t>V2944br</t>
  </si>
  <si>
    <t>A2258wh</t>
  </si>
  <si>
    <t>$235</t>
  </si>
  <si>
    <t>$260</t>
  </si>
  <si>
    <t>$295</t>
  </si>
  <si>
    <t>$375</t>
  </si>
  <si>
    <t>$350</t>
  </si>
  <si>
    <t>$320</t>
  </si>
  <si>
    <t>$220</t>
  </si>
  <si>
    <t>$3,525</t>
  </si>
  <si>
    <t>$5,720</t>
  </si>
  <si>
    <t>$5,640</t>
  </si>
  <si>
    <t>$7,050</t>
  </si>
  <si>
    <t>$9,440</t>
  </si>
  <si>
    <t>$3,290</t>
  </si>
  <si>
    <t>$3,000</t>
  </si>
  <si>
    <t>$5,170</t>
  </si>
  <si>
    <t>$10,400</t>
  </si>
  <si>
    <t>$6,580</t>
  </si>
  <si>
    <t>$11,550</t>
  </si>
  <si>
    <t>$4,425</t>
  </si>
  <si>
    <t>$4,720</t>
  </si>
  <si>
    <t>$9,360</t>
  </si>
  <si>
    <t>$1,170</t>
  </si>
  <si>
    <t>$9,800</t>
  </si>
  <si>
    <t>$1,920</t>
  </si>
  <si>
    <t>$4,160</t>
  </si>
  <si>
    <t>$3,540</t>
  </si>
  <si>
    <t>$5,900</t>
  </si>
  <si>
    <t>$3,500</t>
  </si>
  <si>
    <t>$3,750</t>
  </si>
  <si>
    <t>$13,000</t>
  </si>
  <si>
    <t>$3,975</t>
  </si>
  <si>
    <t>$2,200</t>
  </si>
  <si>
    <t>OFFICE CHAIR SALES</t>
  </si>
  <si>
    <t>Q1-Q2-2020</t>
  </si>
  <si>
    <t>Discount</t>
  </si>
  <si>
    <t>final proce</t>
  </si>
  <si>
    <t>Company Name</t>
  </si>
  <si>
    <t>Representative</t>
  </si>
  <si>
    <t>Bankia</t>
  </si>
  <si>
    <t>Lucas Adams</t>
  </si>
  <si>
    <t>Telmark</t>
  </si>
  <si>
    <t>Emily Flores</t>
  </si>
  <si>
    <t>Affinity</t>
  </si>
  <si>
    <t>Christina Bell</t>
  </si>
  <si>
    <t>Secspace</t>
  </si>
  <si>
    <t>Rob Nelson</t>
  </si>
  <si>
    <t>MarkPlus</t>
  </si>
  <si>
    <t>Matt Reed</t>
  </si>
  <si>
    <t>Cruise</t>
  </si>
  <si>
    <t>Denise Harris</t>
  </si>
  <si>
    <t>Port Royale</t>
  </si>
  <si>
    <t>Dan Hill</t>
  </si>
  <si>
    <t>Vento</t>
  </si>
  <si>
    <t>Amanda Wood</t>
  </si>
  <si>
    <t>Milago</t>
  </si>
  <si>
    <t>Sam Cooper</t>
  </si>
  <si>
    <t>Column1</t>
  </si>
  <si>
    <t>Row Labels</t>
  </si>
  <si>
    <t>Grand Total</t>
  </si>
  <si>
    <t>Column Labels</t>
  </si>
  <si>
    <t>Sum of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</si>
</sst>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44" fontId="0" fillId="0" borderId="0" xfId="1" applyFont="1"/>
    <xf numFmtId="44" fontId="1" fillId="0" borderId="2" xfId="1" applyFont="1" applyBorder="1" applyAlignment="1">
      <alignment horizontal="center" vertical="top"/>
    </xf>
    <xf numFmtId="44" fontId="0" fillId="0" borderId="0" xfId="1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19">
    <dxf>
      <numFmt numFmtId="0" formatCode="General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79.01038310185" backgroundQuery="1" createdVersion="7" refreshedVersion="7" minRefreshableVersion="3" recordCount="0" supportSubquery="1" supportAdvancedDrill="1" xr:uid="{2276F596-4295-485E-85C1-3B3A15818BB9}">
  <cacheSource type="external" connectionId="1"/>
  <cacheFields count="3">
    <cacheField name="[Measures].[Sum of Number]" caption="Sum of Number" numFmtId="0" hierarchy="17" level="32767"/>
    <cacheField name="[Table1].[Month].[Month]" caption="Month" numFmtId="0" hierarchy="2" level="1">
      <sharedItems count="3">
        <s v="February"/>
        <s v="January"/>
        <s v="March"/>
      </sharedItems>
    </cacheField>
    <cacheField name="[Table1].[Model].[Model]" caption="Model" numFmtId="0" hierarchy="7" level="1">
      <sharedItems count="6">
        <s v="Aero"/>
        <s v="Cosmo"/>
        <s v="Energy"/>
        <s v="Flash"/>
        <s v="Urban"/>
        <s v="Volt"/>
      </sharedItems>
    </cacheField>
  </cacheFields>
  <cacheHierarchies count="18">
    <cacheHierarchy uniqueName="[Table1].[Num]" caption="Num" attribute="1" defaultMemberUniqueName="[Table1].[Num].[All]" allUniqueName="[Table1].[Num].[All]" dimensionUniqueName="[Table1]" displayFolder="" count="0" memberValueDatatype="20" unbalanced="0"/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ales Rep]" caption="Sales Rep" attribute="1" defaultMemberUniqueName="[Table1].[Sales Rep].[All]" allUniqueName="[Table1].[Sales Rep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20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Table1].[Model]" caption="Model" attribute="1" defaultMemberUniqueName="[Table1].[Model].[All]" allUniqueName="[Table1].[Model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Color]" caption="Color" attribute="1" defaultMemberUniqueName="[Table1].[Color].[All]" allUniqueName="[Table1].[Color].[All]" dimensionUniqueName="[Table1]" displayFolder="" count="0" memberValueDatatype="130" unbalanced="0"/>
    <cacheHierarchy uniqueName="[Table1].[Item Code]" caption="Item Code" attribute="1" defaultMemberUniqueName="[Table1].[Item Code].[All]" allUniqueName="[Table1].[Item Code].[All]" dimensionUniqueName="[Table1]" displayFolder="" count="0" memberValueDatatype="130" unbalanced="0"/>
    <cacheHierarchy uniqueName="[Table1].[Number]" caption="Number" attribute="1" defaultMemberUniqueName="[Table1].[Number].[All]" allUniqueName="[Table1].[Number].[All]" dimensionUniqueName="[Table1]" displayFolder="" count="0" memberValueDatatype="20" unbalanced="0"/>
    <cacheHierarchy uniqueName="[Table1].[Price / Unit]" caption="Price / Unit" attribute="1" defaultMemberUniqueName="[Table1].[Price / Unit].[All]" allUniqueName="[Table1].[Price / Unit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130" unbalanced="0"/>
    <cacheHierarchy uniqueName="[Table1].[final proce]" caption="final proce" attribute="1" defaultMemberUniqueName="[Table1].[final proce].[All]" allUniqueName="[Table1].[final proc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Number]" caption="Sum of Number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E221D-EB78-4D62-8B73-B39E1723FFEE}" name="PivotTable2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H8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Number" fld="0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ffice_Chair_Sales_A1_to_L84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F994E3-E748-4D87-8C57-FA9F0AB34AA6}" name="Table1" displayName="Table1" ref="A4:O62" totalsRowShown="0" headerRowDxfId="4" dataDxfId="3" headerRowBorderDxfId="17" tableBorderDxfId="18">
  <autoFilter ref="A4:O62" xr:uid="{E0F994E3-E748-4D87-8C57-FA9F0AB34AA6}"/>
  <sortState xmlns:xlrd2="http://schemas.microsoft.com/office/spreadsheetml/2017/richdata2" ref="A5:M62">
    <sortCondition ref="D4:D62"/>
  </sortState>
  <tableColumns count="15">
    <tableColumn id="1" xr3:uid="{DDCB174A-1742-4156-87EC-1B607E44E152}" name="Num" dataDxfId="16"/>
    <tableColumn id="2" xr3:uid="{607849CE-5EA8-4785-B193-9ED10B12026D}" name="Date" dataDxfId="15"/>
    <tableColumn id="3" xr3:uid="{C98B67B0-0FCB-4B97-B125-0D694BED3FA0}" name="Month" dataDxfId="14"/>
    <tableColumn id="4" xr3:uid="{EE614D77-0DDB-487D-A5DF-C44EC58EAD42}" name="Sales Rep" dataDxfId="13"/>
    <tableColumn id="5" xr3:uid="{8EE24569-4797-49B7-A189-37DA42E7DC5D}" name="Region" dataDxfId="12"/>
    <tableColumn id="6" xr3:uid="{DEFF64EB-C520-4889-91D8-72F646F3A622}" name="Customer ID" dataDxfId="11"/>
    <tableColumn id="15" xr3:uid="{702BC637-7261-4AC8-83E0-3FD750A68C31}" name="Column1" dataDxfId="0">
      <calculatedColumnFormula>VLOOKUP(Table1[[#This Row],[Customer ID]], Sheet2!$A$2:$C$10, 2, FALSE)</calculatedColumnFormula>
    </tableColumn>
    <tableColumn id="7" xr3:uid="{61D95E78-2154-4036-BD8B-E88CBDB2CA1E}" name="Model" dataDxfId="10"/>
    <tableColumn id="8" xr3:uid="{0888FEA7-969B-400C-9AF3-9612C28D535E}" name="Color" dataDxfId="9"/>
    <tableColumn id="9" xr3:uid="{65F88D4A-4EFB-48D2-A5F8-AEFED1B1730B}" name="Item Code" dataDxfId="8"/>
    <tableColumn id="10" xr3:uid="{EA06E0E3-0023-4BD1-A532-CA523F38D58E}" name="Number" dataDxfId="7"/>
    <tableColumn id="11" xr3:uid="{F0D777CA-BC1E-4AEC-BD59-CF8453EFDB97}" name="Price / Unit" dataDxfId="6"/>
    <tableColumn id="12" xr3:uid="{09A96E96-DA64-48F2-A098-EAFC75FAF6CA}" name="Total" dataDxfId="5"/>
    <tableColumn id="13" xr3:uid="{65217160-7FB6-42CC-9472-26FCFA8175E4}" name="Discount" dataDxfId="2">
      <calculatedColumnFormula>IF(Table1[[#This Row],[Number]]&gt;=22,"y","N")</calculatedColumnFormula>
    </tableColumn>
    <tableColumn id="14" xr3:uid="{17D22FCB-4D88-4E94-9DCE-78D04EC24B89}" name="final proce" dataDxfId="1" dataCellStyle="Currency">
      <calculatedColumnFormula>IF(Table1[[#This Row],[Number]]&gt;=20,0.95*Table1[[#This Row],[Total]],Table1[[#This Row],[Total]])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B1" workbookViewId="0">
      <selection activeCell="E2" sqref="E2"/>
    </sheetView>
  </sheetViews>
  <sheetFormatPr defaultRowHeight="14.4" x14ac:dyDescent="0.3"/>
  <cols>
    <col min="1" max="1" width="29" customWidth="1"/>
    <col min="2" max="2" width="14.6640625" customWidth="1"/>
    <col min="3" max="3" width="17.33203125" customWidth="1"/>
    <col min="4" max="4" width="18.5546875" customWidth="1"/>
    <col min="5" max="5" width="20.44140625" customWidth="1"/>
    <col min="6" max="6" width="22.44140625" customWidth="1"/>
    <col min="7" max="7" width="22.44140625" style="7" customWidth="1"/>
    <col min="8" max="8" width="13.21875" customWidth="1"/>
    <col min="10" max="10" width="16.21875" customWidth="1"/>
    <col min="11" max="11" width="9.77734375" customWidth="1"/>
    <col min="12" max="12" width="12.33203125" customWidth="1"/>
    <col min="15" max="15" width="11.109375" style="4" bestFit="1" customWidth="1"/>
  </cols>
  <sheetData>
    <row r="1" spans="1:15" x14ac:dyDescent="0.3">
      <c r="A1" t="s">
        <v>111</v>
      </c>
    </row>
    <row r="2" spans="1:15" x14ac:dyDescent="0.3">
      <c r="A2" t="s">
        <v>112</v>
      </c>
    </row>
    <row r="4" spans="1:15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113</v>
      </c>
      <c r="O4" s="5" t="s">
        <v>114</v>
      </c>
    </row>
    <row r="5" spans="1:15" x14ac:dyDescent="0.3">
      <c r="A5" s="2">
        <v>2</v>
      </c>
      <c r="B5" s="2" t="s">
        <v>13</v>
      </c>
      <c r="C5" s="2" t="s">
        <v>37</v>
      </c>
      <c r="D5" s="2" t="s">
        <v>41</v>
      </c>
      <c r="E5" s="2" t="s">
        <v>48</v>
      </c>
      <c r="F5" s="2">
        <v>144</v>
      </c>
      <c r="G5" s="2" t="str">
        <f>VLOOKUP(Table1[[#This Row],[Customer ID]], Sheet2!$A$2:$C$10, 2, FALSE)</f>
        <v>Affinity</v>
      </c>
      <c r="H5" s="2" t="s">
        <v>51</v>
      </c>
      <c r="I5" s="2" t="s">
        <v>57</v>
      </c>
      <c r="J5" s="2" t="s">
        <v>62</v>
      </c>
      <c r="K5" s="2">
        <v>22</v>
      </c>
      <c r="L5" s="2" t="s">
        <v>80</v>
      </c>
      <c r="M5" s="2" t="s">
        <v>87</v>
      </c>
      <c r="N5" s="3" t="str">
        <f>IF(Table1[[#This Row],[Number]]&gt;=22,"y","N")</f>
        <v>y</v>
      </c>
      <c r="O5" s="6">
        <f>IF(Table1[[#This Row],[Number]]&gt;=20,0.95*Table1[[#This Row],[Total]],Table1[[#This Row],[Total]])</f>
        <v>5434</v>
      </c>
    </row>
    <row r="6" spans="1:15" x14ac:dyDescent="0.3">
      <c r="A6" s="2">
        <v>8</v>
      </c>
      <c r="B6" s="2" t="s">
        <v>18</v>
      </c>
      <c r="C6" s="2" t="s">
        <v>37</v>
      </c>
      <c r="D6" s="2" t="s">
        <v>41</v>
      </c>
      <c r="E6" s="2" t="s">
        <v>48</v>
      </c>
      <c r="F6" s="2">
        <v>132</v>
      </c>
      <c r="G6" s="2" t="str">
        <f>VLOOKUP(Table1[[#This Row],[Customer ID]], Sheet2!$A$2:$C$10, 2, FALSE)</f>
        <v>Bankia</v>
      </c>
      <c r="H6" s="2" t="s">
        <v>50</v>
      </c>
      <c r="I6" s="2" t="s">
        <v>58</v>
      </c>
      <c r="J6" s="2" t="s">
        <v>64</v>
      </c>
      <c r="K6" s="2">
        <v>22</v>
      </c>
      <c r="L6" s="2" t="s">
        <v>79</v>
      </c>
      <c r="M6" s="2" t="s">
        <v>93</v>
      </c>
      <c r="N6" s="3" t="str">
        <f>IF(Table1[[#This Row],[Number]]&gt;=22,"y","N")</f>
        <v>y</v>
      </c>
      <c r="O6" s="6">
        <f>IF(Table1[[#This Row],[Number]]&gt;=20,0.95*Table1[[#This Row],[Total]],Table1[[#This Row],[Total]])</f>
        <v>4911.5</v>
      </c>
    </row>
    <row r="7" spans="1:15" x14ac:dyDescent="0.3">
      <c r="A7" s="2">
        <v>15</v>
      </c>
      <c r="B7" s="2" t="s">
        <v>24</v>
      </c>
      <c r="C7" s="2" t="s">
        <v>38</v>
      </c>
      <c r="D7" s="2" t="s">
        <v>41</v>
      </c>
      <c r="E7" s="2" t="s">
        <v>48</v>
      </c>
      <c r="F7" s="2">
        <v>162</v>
      </c>
      <c r="G7" s="2" t="str">
        <f>VLOOKUP(Table1[[#This Row],[Customer ID]], Sheet2!$A$2:$C$10, 2, FALSE)</f>
        <v>Cruise</v>
      </c>
      <c r="H7" s="2" t="s">
        <v>52</v>
      </c>
      <c r="I7" s="2" t="s">
        <v>60</v>
      </c>
      <c r="J7" s="2" t="s">
        <v>71</v>
      </c>
      <c r="K7" s="2">
        <v>5</v>
      </c>
      <c r="L7" s="2" t="s">
        <v>79</v>
      </c>
      <c r="M7" s="2" t="s">
        <v>100</v>
      </c>
      <c r="N7" s="3" t="str">
        <f>IF(Table1[[#This Row],[Number]]&gt;=22,"y","N")</f>
        <v>N</v>
      </c>
      <c r="O7" s="6" t="str">
        <f>IF(Table1[[#This Row],[Number]]&gt;=20,0.95*Table1[[#This Row],[Total]],Table1[[#This Row],[Total]])</f>
        <v>$1,170</v>
      </c>
    </row>
    <row r="8" spans="1:15" x14ac:dyDescent="0.3">
      <c r="A8" s="2">
        <v>20</v>
      </c>
      <c r="B8" s="2" t="s">
        <v>29</v>
      </c>
      <c r="C8" s="2" t="s">
        <v>38</v>
      </c>
      <c r="D8" s="2" t="s">
        <v>41</v>
      </c>
      <c r="E8" s="2" t="s">
        <v>48</v>
      </c>
      <c r="F8" s="2">
        <v>132</v>
      </c>
      <c r="G8" s="2" t="str">
        <f>VLOOKUP(Table1[[#This Row],[Customer ID]], Sheet2!$A$2:$C$10, 2, FALSE)</f>
        <v>Bankia</v>
      </c>
      <c r="H8" s="2" t="s">
        <v>53</v>
      </c>
      <c r="I8" s="2" t="s">
        <v>56</v>
      </c>
      <c r="J8" s="2" t="s">
        <v>73</v>
      </c>
      <c r="K8" s="2">
        <v>15</v>
      </c>
      <c r="L8" s="2" t="s">
        <v>79</v>
      </c>
      <c r="M8" s="2" t="s">
        <v>104</v>
      </c>
      <c r="N8" s="3" t="str">
        <f>IF(Table1[[#This Row],[Number]]&gt;=22,"y","N")</f>
        <v>N</v>
      </c>
      <c r="O8" s="6" t="str">
        <f>IF(Table1[[#This Row],[Number]]&gt;=20,0.95*Table1[[#This Row],[Total]],Table1[[#This Row],[Total]])</f>
        <v>$3,540</v>
      </c>
    </row>
    <row r="9" spans="1:15" x14ac:dyDescent="0.3">
      <c r="A9" s="2">
        <v>27</v>
      </c>
      <c r="B9" s="2" t="s">
        <v>34</v>
      </c>
      <c r="C9" s="2" t="s">
        <v>39</v>
      </c>
      <c r="D9" s="2" t="s">
        <v>41</v>
      </c>
      <c r="E9" s="2" t="s">
        <v>48</v>
      </c>
      <c r="F9" s="2">
        <v>162</v>
      </c>
      <c r="G9" s="2" t="str">
        <f>VLOOKUP(Table1[[#This Row],[Customer ID]], Sheet2!$A$2:$C$10, 2, FALSE)</f>
        <v>Cruise</v>
      </c>
      <c r="H9" s="2" t="s">
        <v>50</v>
      </c>
      <c r="I9" s="2" t="s">
        <v>60</v>
      </c>
      <c r="J9" s="2" t="s">
        <v>76</v>
      </c>
      <c r="K9" s="2">
        <v>22</v>
      </c>
      <c r="L9" s="2" t="s">
        <v>79</v>
      </c>
      <c r="M9" s="2" t="s">
        <v>93</v>
      </c>
      <c r="N9" s="3" t="str">
        <f>IF(Table1[[#This Row],[Number]]&gt;=22,"y","N")</f>
        <v>y</v>
      </c>
      <c r="O9" s="6">
        <f>IF(Table1[[#This Row],[Number]]&gt;=20,0.95*Table1[[#This Row],[Total]],Table1[[#This Row],[Total]])</f>
        <v>4911.5</v>
      </c>
    </row>
    <row r="10" spans="1:15" x14ac:dyDescent="0.3">
      <c r="A10" s="2">
        <v>2</v>
      </c>
      <c r="B10" s="2" t="s">
        <v>13</v>
      </c>
      <c r="C10" s="2" t="s">
        <v>37</v>
      </c>
      <c r="D10" s="2" t="s">
        <v>41</v>
      </c>
      <c r="E10" s="2" t="s">
        <v>48</v>
      </c>
      <c r="F10" s="2">
        <v>144</v>
      </c>
      <c r="G10" s="2" t="str">
        <f>VLOOKUP(Table1[[#This Row],[Customer ID]], Sheet2!$A$2:$C$10, 2, FALSE)</f>
        <v>Affinity</v>
      </c>
      <c r="H10" s="2" t="s">
        <v>51</v>
      </c>
      <c r="I10" s="2" t="s">
        <v>57</v>
      </c>
      <c r="J10" s="2" t="s">
        <v>62</v>
      </c>
      <c r="K10" s="2">
        <v>22</v>
      </c>
      <c r="L10" s="2" t="s">
        <v>80</v>
      </c>
      <c r="M10" s="2" t="s">
        <v>87</v>
      </c>
      <c r="N10" s="3" t="str">
        <f>IF(Table1[[#This Row],[Number]]&gt;=22,"y","N")</f>
        <v>y</v>
      </c>
      <c r="O10" s="6">
        <f>IF(Table1[[#This Row],[Number]]&gt;=20,0.95*Table1[[#This Row],[Total]],Table1[[#This Row],[Total]])</f>
        <v>5434</v>
      </c>
    </row>
    <row r="11" spans="1:15" x14ac:dyDescent="0.3">
      <c r="A11" s="2">
        <v>8</v>
      </c>
      <c r="B11" s="2" t="s">
        <v>18</v>
      </c>
      <c r="C11" s="2" t="s">
        <v>37</v>
      </c>
      <c r="D11" s="2" t="s">
        <v>41</v>
      </c>
      <c r="E11" s="2" t="s">
        <v>48</v>
      </c>
      <c r="F11" s="2">
        <v>132</v>
      </c>
      <c r="G11" s="2" t="str">
        <f>VLOOKUP(Table1[[#This Row],[Customer ID]], Sheet2!$A$2:$C$10, 2, FALSE)</f>
        <v>Bankia</v>
      </c>
      <c r="H11" s="2" t="s">
        <v>50</v>
      </c>
      <c r="I11" s="2" t="s">
        <v>58</v>
      </c>
      <c r="J11" s="2" t="s">
        <v>64</v>
      </c>
      <c r="K11" s="2">
        <v>22</v>
      </c>
      <c r="L11" s="2" t="s">
        <v>79</v>
      </c>
      <c r="M11" s="2" t="s">
        <v>93</v>
      </c>
      <c r="N11" s="3" t="str">
        <f>IF(Table1[[#This Row],[Number]]&gt;=22,"y","N")</f>
        <v>y</v>
      </c>
      <c r="O11" s="6">
        <f>IF(Table1[[#This Row],[Number]]&gt;=20,0.95*Table1[[#This Row],[Total]],Table1[[#This Row],[Total]])</f>
        <v>4911.5</v>
      </c>
    </row>
    <row r="12" spans="1:15" x14ac:dyDescent="0.3">
      <c r="A12" s="2">
        <v>15</v>
      </c>
      <c r="B12" s="2" t="s">
        <v>24</v>
      </c>
      <c r="C12" s="2" t="s">
        <v>38</v>
      </c>
      <c r="D12" s="2" t="s">
        <v>41</v>
      </c>
      <c r="E12" s="2" t="s">
        <v>48</v>
      </c>
      <c r="F12" s="2">
        <v>162</v>
      </c>
      <c r="G12" s="2" t="str">
        <f>VLOOKUP(Table1[[#This Row],[Customer ID]], Sheet2!$A$2:$C$10, 2, FALSE)</f>
        <v>Cruise</v>
      </c>
      <c r="H12" s="2" t="s">
        <v>52</v>
      </c>
      <c r="I12" s="2" t="s">
        <v>60</v>
      </c>
      <c r="J12" s="2" t="s">
        <v>71</v>
      </c>
      <c r="K12" s="2">
        <v>5</v>
      </c>
      <c r="L12" s="2" t="s">
        <v>79</v>
      </c>
      <c r="M12" s="2" t="s">
        <v>100</v>
      </c>
      <c r="N12" s="3" t="str">
        <f>IF(Table1[[#This Row],[Number]]&gt;=22,"y","N")</f>
        <v>N</v>
      </c>
      <c r="O12" s="6" t="str">
        <f>IF(Table1[[#This Row],[Number]]&gt;=20,0.95*Table1[[#This Row],[Total]],Table1[[#This Row],[Total]])</f>
        <v>$1,170</v>
      </c>
    </row>
    <row r="13" spans="1:15" x14ac:dyDescent="0.3">
      <c r="A13" s="2">
        <v>20</v>
      </c>
      <c r="B13" s="2" t="s">
        <v>29</v>
      </c>
      <c r="C13" s="2" t="s">
        <v>38</v>
      </c>
      <c r="D13" s="2" t="s">
        <v>41</v>
      </c>
      <c r="E13" s="2" t="s">
        <v>48</v>
      </c>
      <c r="F13" s="2">
        <v>132</v>
      </c>
      <c r="G13" s="2" t="str">
        <f>VLOOKUP(Table1[[#This Row],[Customer ID]], Sheet2!$A$2:$C$10, 2, FALSE)</f>
        <v>Bankia</v>
      </c>
      <c r="H13" s="2" t="s">
        <v>53</v>
      </c>
      <c r="I13" s="2" t="s">
        <v>56</v>
      </c>
      <c r="J13" s="2" t="s">
        <v>73</v>
      </c>
      <c r="K13" s="2">
        <v>15</v>
      </c>
      <c r="L13" s="2" t="s">
        <v>79</v>
      </c>
      <c r="M13" s="2" t="s">
        <v>104</v>
      </c>
      <c r="N13" s="3" t="str">
        <f>IF(Table1[[#This Row],[Number]]&gt;=22,"y","N")</f>
        <v>N</v>
      </c>
      <c r="O13" s="6" t="str">
        <f>IF(Table1[[#This Row],[Number]]&gt;=20,0.95*Table1[[#This Row],[Total]],Table1[[#This Row],[Total]])</f>
        <v>$3,540</v>
      </c>
    </row>
    <row r="14" spans="1:15" x14ac:dyDescent="0.3">
      <c r="A14" s="2">
        <v>27</v>
      </c>
      <c r="B14" s="2" t="s">
        <v>34</v>
      </c>
      <c r="C14" s="2" t="s">
        <v>39</v>
      </c>
      <c r="D14" s="2" t="s">
        <v>41</v>
      </c>
      <c r="E14" s="2" t="s">
        <v>48</v>
      </c>
      <c r="F14" s="2">
        <v>162</v>
      </c>
      <c r="G14" s="2" t="str">
        <f>VLOOKUP(Table1[[#This Row],[Customer ID]], Sheet2!$A$2:$C$10, 2, FALSE)</f>
        <v>Cruise</v>
      </c>
      <c r="H14" s="2" t="s">
        <v>50</v>
      </c>
      <c r="I14" s="2" t="s">
        <v>60</v>
      </c>
      <c r="J14" s="2" t="s">
        <v>76</v>
      </c>
      <c r="K14" s="2">
        <v>22</v>
      </c>
      <c r="L14" s="2" t="s">
        <v>79</v>
      </c>
      <c r="M14" s="2" t="s">
        <v>93</v>
      </c>
      <c r="N14" s="3" t="str">
        <f>IF(Table1[[#This Row],[Number]]&gt;=22,"y","N")</f>
        <v>y</v>
      </c>
      <c r="O14" s="6">
        <f>IF(Table1[[#This Row],[Number]]&gt;=20,0.95*Table1[[#This Row],[Total]],Table1[[#This Row],[Total]])</f>
        <v>4911.5</v>
      </c>
    </row>
    <row r="15" spans="1:15" x14ac:dyDescent="0.3">
      <c r="A15" s="2">
        <v>7</v>
      </c>
      <c r="B15" s="2" t="s">
        <v>17</v>
      </c>
      <c r="C15" s="2" t="s">
        <v>37</v>
      </c>
      <c r="D15" s="2" t="s">
        <v>45</v>
      </c>
      <c r="E15" s="2" t="s">
        <v>49</v>
      </c>
      <c r="F15" s="2">
        <v>152</v>
      </c>
      <c r="G15" s="2" t="str">
        <f>VLOOKUP(Table1[[#This Row],[Customer ID]], Sheet2!$A$2:$C$10, 2, FALSE)</f>
        <v>Secspace</v>
      </c>
      <c r="H15" s="2" t="s">
        <v>54</v>
      </c>
      <c r="I15" s="2" t="s">
        <v>60</v>
      </c>
      <c r="J15" s="2" t="s">
        <v>67</v>
      </c>
      <c r="K15" s="2">
        <v>8</v>
      </c>
      <c r="L15" s="2" t="s">
        <v>82</v>
      </c>
      <c r="M15" s="2" t="s">
        <v>92</v>
      </c>
      <c r="N15" s="3" t="str">
        <f>IF(Table1[[#This Row],[Number]]&gt;=22,"y","N")</f>
        <v>N</v>
      </c>
      <c r="O15" s="6" t="str">
        <f>IF(Table1[[#This Row],[Number]]&gt;=20,0.95*Table1[[#This Row],[Total]],Table1[[#This Row],[Total]])</f>
        <v>$3,000</v>
      </c>
    </row>
    <row r="16" spans="1:15" x14ac:dyDescent="0.3">
      <c r="A16" s="2">
        <v>11</v>
      </c>
      <c r="B16" s="2" t="s">
        <v>20</v>
      </c>
      <c r="C16" s="2" t="s">
        <v>37</v>
      </c>
      <c r="D16" s="2" t="s">
        <v>45</v>
      </c>
      <c r="E16" s="2" t="s">
        <v>49</v>
      </c>
      <c r="F16" s="2">
        <v>157</v>
      </c>
      <c r="G16" s="2" t="str">
        <f>VLOOKUP(Table1[[#This Row],[Customer ID]], Sheet2!$A$2:$C$10, 2, FALSE)</f>
        <v>MarkPlus</v>
      </c>
      <c r="H16" s="2" t="s">
        <v>52</v>
      </c>
      <c r="I16" s="2" t="s">
        <v>56</v>
      </c>
      <c r="J16" s="2" t="s">
        <v>63</v>
      </c>
      <c r="K16" s="2">
        <v>33</v>
      </c>
      <c r="L16" s="2" t="s">
        <v>83</v>
      </c>
      <c r="M16" s="2" t="s">
        <v>96</v>
      </c>
      <c r="N16" s="3" t="str">
        <f>IF(Table1[[#This Row],[Number]]&gt;=22,"y","N")</f>
        <v>y</v>
      </c>
      <c r="O16" s="6">
        <f>IF(Table1[[#This Row],[Number]]&gt;=20,0.95*Table1[[#This Row],[Total]],Table1[[#This Row],[Total]])</f>
        <v>10972.5</v>
      </c>
    </row>
    <row r="17" spans="1:15" x14ac:dyDescent="0.3">
      <c r="A17" s="2">
        <v>19</v>
      </c>
      <c r="B17" s="2" t="s">
        <v>28</v>
      </c>
      <c r="C17" s="2" t="s">
        <v>38</v>
      </c>
      <c r="D17" s="2" t="s">
        <v>45</v>
      </c>
      <c r="E17" s="2" t="s">
        <v>49</v>
      </c>
      <c r="F17" s="2">
        <v>132</v>
      </c>
      <c r="G17" s="2" t="str">
        <f>VLOOKUP(Table1[[#This Row],[Customer ID]], Sheet2!$A$2:$C$10, 2, FALSE)</f>
        <v>Bankia</v>
      </c>
      <c r="H17" s="2" t="s">
        <v>50</v>
      </c>
      <c r="I17" s="2" t="s">
        <v>58</v>
      </c>
      <c r="J17" s="2" t="s">
        <v>64</v>
      </c>
      <c r="K17" s="2">
        <v>14</v>
      </c>
      <c r="L17" s="2" t="s">
        <v>79</v>
      </c>
      <c r="M17" s="2" t="s">
        <v>91</v>
      </c>
      <c r="N17" s="3" t="str">
        <f>IF(Table1[[#This Row],[Number]]&gt;=22,"y","N")</f>
        <v>N</v>
      </c>
      <c r="O17" s="6" t="str">
        <f>IF(Table1[[#This Row],[Number]]&gt;=20,0.95*Table1[[#This Row],[Total]],Table1[[#This Row],[Total]])</f>
        <v>$3,290</v>
      </c>
    </row>
    <row r="18" spans="1:15" x14ac:dyDescent="0.3">
      <c r="A18" s="2">
        <v>7</v>
      </c>
      <c r="B18" s="2" t="s">
        <v>17</v>
      </c>
      <c r="C18" s="2" t="s">
        <v>37</v>
      </c>
      <c r="D18" s="2" t="s">
        <v>45</v>
      </c>
      <c r="E18" s="2" t="s">
        <v>49</v>
      </c>
      <c r="F18" s="2">
        <v>152</v>
      </c>
      <c r="G18" s="2" t="str">
        <f>VLOOKUP(Table1[[#This Row],[Customer ID]], Sheet2!$A$2:$C$10, 2, FALSE)</f>
        <v>Secspace</v>
      </c>
      <c r="H18" s="2" t="s">
        <v>54</v>
      </c>
      <c r="I18" s="2" t="s">
        <v>60</v>
      </c>
      <c r="J18" s="2" t="s">
        <v>67</v>
      </c>
      <c r="K18" s="2">
        <v>8</v>
      </c>
      <c r="L18" s="2" t="s">
        <v>82</v>
      </c>
      <c r="M18" s="2" t="s">
        <v>92</v>
      </c>
      <c r="N18" s="3" t="str">
        <f>IF(Table1[[#This Row],[Number]]&gt;=22,"y","N")</f>
        <v>N</v>
      </c>
      <c r="O18" s="6" t="str">
        <f>IF(Table1[[#This Row],[Number]]&gt;=20,0.95*Table1[[#This Row],[Total]],Table1[[#This Row],[Total]])</f>
        <v>$3,000</v>
      </c>
    </row>
    <row r="19" spans="1:15" x14ac:dyDescent="0.3">
      <c r="A19" s="2">
        <v>11</v>
      </c>
      <c r="B19" s="2" t="s">
        <v>20</v>
      </c>
      <c r="C19" s="2" t="s">
        <v>37</v>
      </c>
      <c r="D19" s="2" t="s">
        <v>45</v>
      </c>
      <c r="E19" s="2" t="s">
        <v>49</v>
      </c>
      <c r="F19" s="2">
        <v>157</v>
      </c>
      <c r="G19" s="2" t="str">
        <f>VLOOKUP(Table1[[#This Row],[Customer ID]], Sheet2!$A$2:$C$10, 2, FALSE)</f>
        <v>MarkPlus</v>
      </c>
      <c r="H19" s="2" t="s">
        <v>52</v>
      </c>
      <c r="I19" s="2" t="s">
        <v>56</v>
      </c>
      <c r="J19" s="2" t="s">
        <v>63</v>
      </c>
      <c r="K19" s="2">
        <v>33</v>
      </c>
      <c r="L19" s="2" t="s">
        <v>83</v>
      </c>
      <c r="M19" s="2" t="s">
        <v>96</v>
      </c>
      <c r="N19" s="3" t="str">
        <f>IF(Table1[[#This Row],[Number]]&gt;=22,"y","N")</f>
        <v>y</v>
      </c>
      <c r="O19" s="6">
        <f>IF(Table1[[#This Row],[Number]]&gt;=20,0.95*Table1[[#This Row],[Total]],Table1[[#This Row],[Total]])</f>
        <v>10972.5</v>
      </c>
    </row>
    <row r="20" spans="1:15" x14ac:dyDescent="0.3">
      <c r="A20" s="2">
        <v>19</v>
      </c>
      <c r="B20" s="2" t="s">
        <v>28</v>
      </c>
      <c r="C20" s="2" t="s">
        <v>38</v>
      </c>
      <c r="D20" s="2" t="s">
        <v>45</v>
      </c>
      <c r="E20" s="2" t="s">
        <v>49</v>
      </c>
      <c r="F20" s="2">
        <v>132</v>
      </c>
      <c r="G20" s="2" t="str">
        <f>VLOOKUP(Table1[[#This Row],[Customer ID]], Sheet2!$A$2:$C$10, 2, FALSE)</f>
        <v>Bankia</v>
      </c>
      <c r="H20" s="2" t="s">
        <v>50</v>
      </c>
      <c r="I20" s="2" t="s">
        <v>58</v>
      </c>
      <c r="J20" s="2" t="s">
        <v>64</v>
      </c>
      <c r="K20" s="2">
        <v>14</v>
      </c>
      <c r="L20" s="2" t="s">
        <v>79</v>
      </c>
      <c r="M20" s="2" t="s">
        <v>91</v>
      </c>
      <c r="N20" s="3" t="str">
        <f>IF(Table1[[#This Row],[Number]]&gt;=22,"y","N")</f>
        <v>N</v>
      </c>
      <c r="O20" s="6" t="str">
        <f>IF(Table1[[#This Row],[Number]]&gt;=20,0.95*Table1[[#This Row],[Total]],Table1[[#This Row],[Total]])</f>
        <v>$3,290</v>
      </c>
    </row>
    <row r="21" spans="1:15" x14ac:dyDescent="0.3">
      <c r="A21" s="2">
        <v>14</v>
      </c>
      <c r="B21" s="2" t="s">
        <v>23</v>
      </c>
      <c r="C21" s="2" t="s">
        <v>38</v>
      </c>
      <c r="D21" s="2" t="s">
        <v>46</v>
      </c>
      <c r="E21" s="2" t="s">
        <v>48</v>
      </c>
      <c r="F21" s="2">
        <v>132</v>
      </c>
      <c r="G21" s="2" t="str">
        <f>VLOOKUP(Table1[[#This Row],[Customer ID]], Sheet2!$A$2:$C$10, 2, FALSE)</f>
        <v>Bankia</v>
      </c>
      <c r="H21" s="2" t="s">
        <v>51</v>
      </c>
      <c r="I21" s="2" t="s">
        <v>58</v>
      </c>
      <c r="J21" s="2" t="s">
        <v>68</v>
      </c>
      <c r="K21" s="2">
        <v>36</v>
      </c>
      <c r="L21" s="2" t="s">
        <v>80</v>
      </c>
      <c r="M21" s="2" t="s">
        <v>99</v>
      </c>
      <c r="N21" s="3" t="str">
        <f>IF(Table1[[#This Row],[Number]]&gt;=22,"y","N")</f>
        <v>y</v>
      </c>
      <c r="O21" s="6">
        <f>IF(Table1[[#This Row],[Number]]&gt;=20,0.95*Table1[[#This Row],[Total]],Table1[[#This Row],[Total]])</f>
        <v>8892</v>
      </c>
    </row>
    <row r="22" spans="1:15" x14ac:dyDescent="0.3">
      <c r="A22" s="2">
        <v>24</v>
      </c>
      <c r="B22" s="2" t="s">
        <v>33</v>
      </c>
      <c r="C22" s="2" t="s">
        <v>39</v>
      </c>
      <c r="D22" s="2" t="s">
        <v>46</v>
      </c>
      <c r="E22" s="2" t="s">
        <v>48</v>
      </c>
      <c r="F22" s="2">
        <v>162</v>
      </c>
      <c r="G22" s="2" t="str">
        <f>VLOOKUP(Table1[[#This Row],[Customer ID]], Sheet2!$A$2:$C$10, 2, FALSE)</f>
        <v>Cruise</v>
      </c>
      <c r="H22" s="2" t="s">
        <v>51</v>
      </c>
      <c r="I22" s="2" t="s">
        <v>56</v>
      </c>
      <c r="J22" s="2" t="s">
        <v>75</v>
      </c>
      <c r="K22" s="2">
        <v>50</v>
      </c>
      <c r="L22" s="2" t="s">
        <v>80</v>
      </c>
      <c r="M22" s="2" t="s">
        <v>108</v>
      </c>
      <c r="N22" s="3" t="str">
        <f>IF(Table1[[#This Row],[Number]]&gt;=22,"y","N")</f>
        <v>y</v>
      </c>
      <c r="O22" s="6">
        <f>IF(Table1[[#This Row],[Number]]&gt;=20,0.95*Table1[[#This Row],[Total]],Table1[[#This Row],[Total]])</f>
        <v>12350</v>
      </c>
    </row>
    <row r="23" spans="1:15" x14ac:dyDescent="0.3">
      <c r="A23" s="2">
        <v>26</v>
      </c>
      <c r="B23" s="2" t="s">
        <v>33</v>
      </c>
      <c r="C23" s="2" t="s">
        <v>39</v>
      </c>
      <c r="D23" s="2" t="s">
        <v>46</v>
      </c>
      <c r="E23" s="2" t="s">
        <v>48</v>
      </c>
      <c r="F23" s="2">
        <v>162</v>
      </c>
      <c r="G23" s="2" t="str">
        <f>VLOOKUP(Table1[[#This Row],[Customer ID]], Sheet2!$A$2:$C$10, 2, FALSE)</f>
        <v>Cruise</v>
      </c>
      <c r="H23" s="2" t="s">
        <v>51</v>
      </c>
      <c r="I23" s="2" t="s">
        <v>56</v>
      </c>
      <c r="J23" s="2" t="s">
        <v>75</v>
      </c>
      <c r="K23" s="2">
        <v>50</v>
      </c>
      <c r="L23" s="2" t="s">
        <v>80</v>
      </c>
      <c r="M23" s="2" t="s">
        <v>108</v>
      </c>
      <c r="N23" s="3" t="str">
        <f>IF(Table1[[#This Row],[Number]]&gt;=22,"y","N")</f>
        <v>y</v>
      </c>
      <c r="O23" s="6">
        <f>IF(Table1[[#This Row],[Number]]&gt;=20,0.95*Table1[[#This Row],[Total]],Table1[[#This Row],[Total]])</f>
        <v>12350</v>
      </c>
    </row>
    <row r="24" spans="1:15" x14ac:dyDescent="0.3">
      <c r="A24" s="2">
        <v>14</v>
      </c>
      <c r="B24" s="2" t="s">
        <v>23</v>
      </c>
      <c r="C24" s="2" t="s">
        <v>38</v>
      </c>
      <c r="D24" s="2" t="s">
        <v>46</v>
      </c>
      <c r="E24" s="2" t="s">
        <v>48</v>
      </c>
      <c r="F24" s="2">
        <v>132</v>
      </c>
      <c r="G24" s="2" t="str">
        <f>VLOOKUP(Table1[[#This Row],[Customer ID]], Sheet2!$A$2:$C$10, 2, FALSE)</f>
        <v>Bankia</v>
      </c>
      <c r="H24" s="2" t="s">
        <v>51</v>
      </c>
      <c r="I24" s="2" t="s">
        <v>58</v>
      </c>
      <c r="J24" s="2" t="s">
        <v>68</v>
      </c>
      <c r="K24" s="2">
        <v>36</v>
      </c>
      <c r="L24" s="2" t="s">
        <v>80</v>
      </c>
      <c r="M24" s="2" t="s">
        <v>99</v>
      </c>
      <c r="N24" s="3" t="str">
        <f>IF(Table1[[#This Row],[Number]]&gt;=22,"y","N")</f>
        <v>y</v>
      </c>
      <c r="O24" s="6">
        <f>IF(Table1[[#This Row],[Number]]&gt;=20,0.95*Table1[[#This Row],[Total]],Table1[[#This Row],[Total]])</f>
        <v>8892</v>
      </c>
    </row>
    <row r="25" spans="1:15" x14ac:dyDescent="0.3">
      <c r="A25" s="2">
        <v>24</v>
      </c>
      <c r="B25" s="2" t="s">
        <v>33</v>
      </c>
      <c r="C25" s="2" t="s">
        <v>39</v>
      </c>
      <c r="D25" s="2" t="s">
        <v>46</v>
      </c>
      <c r="E25" s="2" t="s">
        <v>48</v>
      </c>
      <c r="F25" s="2">
        <v>162</v>
      </c>
      <c r="G25" s="2" t="str">
        <f>VLOOKUP(Table1[[#This Row],[Customer ID]], Sheet2!$A$2:$C$10, 2, FALSE)</f>
        <v>Cruise</v>
      </c>
      <c r="H25" s="2" t="s">
        <v>51</v>
      </c>
      <c r="I25" s="2" t="s">
        <v>56</v>
      </c>
      <c r="J25" s="2" t="s">
        <v>75</v>
      </c>
      <c r="K25" s="2">
        <v>50</v>
      </c>
      <c r="L25" s="2" t="s">
        <v>80</v>
      </c>
      <c r="M25" s="2" t="s">
        <v>108</v>
      </c>
      <c r="N25" s="3" t="str">
        <f>IF(Table1[[#This Row],[Number]]&gt;=22,"y","N")</f>
        <v>y</v>
      </c>
      <c r="O25" s="6">
        <f>IF(Table1[[#This Row],[Number]]&gt;=20,0.95*Table1[[#This Row],[Total]],Table1[[#This Row],[Total]])</f>
        <v>12350</v>
      </c>
    </row>
    <row r="26" spans="1:15" x14ac:dyDescent="0.3">
      <c r="A26" s="2">
        <v>26</v>
      </c>
      <c r="B26" s="2" t="s">
        <v>33</v>
      </c>
      <c r="C26" s="2" t="s">
        <v>39</v>
      </c>
      <c r="D26" s="2" t="s">
        <v>46</v>
      </c>
      <c r="E26" s="2" t="s">
        <v>48</v>
      </c>
      <c r="F26" s="2">
        <v>162</v>
      </c>
      <c r="G26" s="2" t="str">
        <f>VLOOKUP(Table1[[#This Row],[Customer ID]], Sheet2!$A$2:$C$10, 2, FALSE)</f>
        <v>Cruise</v>
      </c>
      <c r="H26" s="2" t="s">
        <v>51</v>
      </c>
      <c r="I26" s="2" t="s">
        <v>56</v>
      </c>
      <c r="J26" s="2" t="s">
        <v>75</v>
      </c>
      <c r="K26" s="2">
        <v>50</v>
      </c>
      <c r="L26" s="2" t="s">
        <v>80</v>
      </c>
      <c r="M26" s="2" t="s">
        <v>108</v>
      </c>
      <c r="N26" s="3" t="str">
        <f>IF(Table1[[#This Row],[Number]]&gt;=22,"y","N")</f>
        <v>y</v>
      </c>
      <c r="O26" s="6">
        <f>IF(Table1[[#This Row],[Number]]&gt;=20,0.95*Table1[[#This Row],[Total]],Table1[[#This Row],[Total]])</f>
        <v>12350</v>
      </c>
    </row>
    <row r="27" spans="1:15" x14ac:dyDescent="0.3">
      <c r="A27" s="2">
        <v>1</v>
      </c>
      <c r="B27" s="2" t="s">
        <v>12</v>
      </c>
      <c r="C27" s="2" t="s">
        <v>37</v>
      </c>
      <c r="D27" s="2" t="s">
        <v>40</v>
      </c>
      <c r="E27" s="2" t="s">
        <v>47</v>
      </c>
      <c r="F27" s="2">
        <v>132</v>
      </c>
      <c r="G27" s="2" t="str">
        <f>VLOOKUP(Table1[[#This Row],[Customer ID]], Sheet2!$A$2:$C$10, 2, FALSE)</f>
        <v>Bankia</v>
      </c>
      <c r="H27" s="2" t="s">
        <v>50</v>
      </c>
      <c r="I27" s="2" t="s">
        <v>56</v>
      </c>
      <c r="J27" s="2" t="s">
        <v>61</v>
      </c>
      <c r="K27" s="2">
        <v>15</v>
      </c>
      <c r="L27" s="2" t="s">
        <v>79</v>
      </c>
      <c r="M27" s="2" t="s">
        <v>86</v>
      </c>
      <c r="N27" s="3" t="str">
        <f>IF(Table1[[#This Row],[Number]]&gt;=22,"y","N")</f>
        <v>N</v>
      </c>
      <c r="O27" s="6" t="str">
        <f>IF(Table1[[#This Row],[Number]]&gt;=20,0.95*Table1[[#This Row],[Total]],Table1[[#This Row],[Total]])</f>
        <v>$3,525</v>
      </c>
    </row>
    <row r="28" spans="1:15" x14ac:dyDescent="0.3">
      <c r="A28" s="2">
        <v>5</v>
      </c>
      <c r="B28" s="2" t="s">
        <v>15</v>
      </c>
      <c r="C28" s="2" t="s">
        <v>37</v>
      </c>
      <c r="D28" s="2" t="s">
        <v>40</v>
      </c>
      <c r="E28" s="2" t="s">
        <v>47</v>
      </c>
      <c r="F28" s="2">
        <v>166</v>
      </c>
      <c r="G28" s="2" t="str">
        <f>VLOOKUP(Table1[[#This Row],[Customer ID]], Sheet2!$A$2:$C$10, 2, FALSE)</f>
        <v>Port Royale</v>
      </c>
      <c r="H28" s="2" t="s">
        <v>53</v>
      </c>
      <c r="I28" s="2" t="s">
        <v>59</v>
      </c>
      <c r="J28" s="2" t="s">
        <v>65</v>
      </c>
      <c r="K28" s="2">
        <v>32</v>
      </c>
      <c r="L28" s="2" t="s">
        <v>81</v>
      </c>
      <c r="M28" s="2" t="s">
        <v>90</v>
      </c>
      <c r="N28" s="3" t="str">
        <f>IF(Table1[[#This Row],[Number]]&gt;=22,"y","N")</f>
        <v>y</v>
      </c>
      <c r="O28" s="6">
        <f>IF(Table1[[#This Row],[Number]]&gt;=20,0.95*Table1[[#This Row],[Total]],Table1[[#This Row],[Total]])</f>
        <v>8968</v>
      </c>
    </row>
    <row r="29" spans="1:15" x14ac:dyDescent="0.3">
      <c r="A29" s="2">
        <v>10</v>
      </c>
      <c r="B29" s="2" t="s">
        <v>19</v>
      </c>
      <c r="C29" s="2" t="s">
        <v>37</v>
      </c>
      <c r="D29" s="2" t="s">
        <v>40</v>
      </c>
      <c r="E29" s="2" t="s">
        <v>47</v>
      </c>
      <c r="F29" s="2">
        <v>166</v>
      </c>
      <c r="G29" s="2" t="str">
        <f>VLOOKUP(Table1[[#This Row],[Customer ID]], Sheet2!$A$2:$C$10, 2, FALSE)</f>
        <v>Port Royale</v>
      </c>
      <c r="H29" s="2" t="s">
        <v>52</v>
      </c>
      <c r="I29" s="2" t="s">
        <v>56</v>
      </c>
      <c r="J29" s="2" t="s">
        <v>63</v>
      </c>
      <c r="K29" s="2">
        <v>28</v>
      </c>
      <c r="L29" s="2" t="s">
        <v>79</v>
      </c>
      <c r="M29" s="2" t="s">
        <v>95</v>
      </c>
      <c r="N29" s="3" t="str">
        <f>IF(Table1[[#This Row],[Number]]&gt;=22,"y","N")</f>
        <v>y</v>
      </c>
      <c r="O29" s="6">
        <f>IF(Table1[[#This Row],[Number]]&gt;=20,0.95*Table1[[#This Row],[Total]],Table1[[#This Row],[Total]])</f>
        <v>6251</v>
      </c>
    </row>
    <row r="30" spans="1:15" x14ac:dyDescent="0.3">
      <c r="A30" s="2">
        <v>13</v>
      </c>
      <c r="B30" s="2" t="s">
        <v>22</v>
      </c>
      <c r="C30" s="2" t="s">
        <v>38</v>
      </c>
      <c r="D30" s="2" t="s">
        <v>40</v>
      </c>
      <c r="E30" s="2" t="s">
        <v>47</v>
      </c>
      <c r="F30" s="2">
        <v>180</v>
      </c>
      <c r="G30" s="2" t="str">
        <f>VLOOKUP(Table1[[#This Row],[Customer ID]], Sheet2!$A$2:$C$10, 2, FALSE)</f>
        <v>Milago</v>
      </c>
      <c r="H30" s="2" t="s">
        <v>54</v>
      </c>
      <c r="I30" s="2" t="s">
        <v>59</v>
      </c>
      <c r="J30" s="2" t="s">
        <v>70</v>
      </c>
      <c r="K30" s="2">
        <v>16</v>
      </c>
      <c r="L30" s="2" t="s">
        <v>81</v>
      </c>
      <c r="M30" s="2" t="s">
        <v>98</v>
      </c>
      <c r="N30" s="3" t="str">
        <f>IF(Table1[[#This Row],[Number]]&gt;=22,"y","N")</f>
        <v>N</v>
      </c>
      <c r="O30" s="6" t="str">
        <f>IF(Table1[[#This Row],[Number]]&gt;=20,0.95*Table1[[#This Row],[Total]],Table1[[#This Row],[Total]])</f>
        <v>$4,720</v>
      </c>
    </row>
    <row r="31" spans="1:15" x14ac:dyDescent="0.3">
      <c r="A31" s="2">
        <v>18</v>
      </c>
      <c r="B31" s="2" t="s">
        <v>27</v>
      </c>
      <c r="C31" s="2" t="s">
        <v>38</v>
      </c>
      <c r="D31" s="2" t="s">
        <v>40</v>
      </c>
      <c r="E31" s="2" t="s">
        <v>47</v>
      </c>
      <c r="F31" s="2">
        <v>136</v>
      </c>
      <c r="G31" s="2" t="str">
        <f>VLOOKUP(Table1[[#This Row],[Customer ID]], Sheet2!$A$2:$C$10, 2, FALSE)</f>
        <v>Telmark</v>
      </c>
      <c r="H31" s="2" t="s">
        <v>51</v>
      </c>
      <c r="I31" s="2" t="s">
        <v>58</v>
      </c>
      <c r="J31" s="2" t="s">
        <v>68</v>
      </c>
      <c r="K31" s="2">
        <v>16</v>
      </c>
      <c r="L31" s="2" t="s">
        <v>80</v>
      </c>
      <c r="M31" s="2" t="s">
        <v>103</v>
      </c>
      <c r="N31" s="3" t="str">
        <f>IF(Table1[[#This Row],[Number]]&gt;=22,"y","N")</f>
        <v>N</v>
      </c>
      <c r="O31" s="6" t="str">
        <f>IF(Table1[[#This Row],[Number]]&gt;=20,0.95*Table1[[#This Row],[Total]],Table1[[#This Row],[Total]])</f>
        <v>$4,160</v>
      </c>
    </row>
    <row r="32" spans="1:15" x14ac:dyDescent="0.3">
      <c r="A32" s="2">
        <v>28</v>
      </c>
      <c r="B32" s="2" t="s">
        <v>35</v>
      </c>
      <c r="C32" s="2" t="s">
        <v>39</v>
      </c>
      <c r="D32" s="2" t="s">
        <v>40</v>
      </c>
      <c r="E32" s="2" t="s">
        <v>47</v>
      </c>
      <c r="F32" s="2">
        <v>144</v>
      </c>
      <c r="G32" s="2" t="str">
        <f>VLOOKUP(Table1[[#This Row],[Customer ID]], Sheet2!$A$2:$C$10, 2, FALSE)</f>
        <v>Affinity</v>
      </c>
      <c r="H32" s="2" t="s">
        <v>53</v>
      </c>
      <c r="I32" s="2" t="s">
        <v>58</v>
      </c>
      <c r="J32" s="2" t="s">
        <v>77</v>
      </c>
      <c r="K32" s="2">
        <v>25</v>
      </c>
      <c r="L32" s="2" t="s">
        <v>81</v>
      </c>
      <c r="M32" s="2" t="s">
        <v>97</v>
      </c>
      <c r="N32" s="3" t="str">
        <f>IF(Table1[[#This Row],[Number]]&gt;=22,"y","N")</f>
        <v>y</v>
      </c>
      <c r="O32" s="6">
        <f>IF(Table1[[#This Row],[Number]]&gt;=20,0.95*Table1[[#This Row],[Total]],Table1[[#This Row],[Total]])</f>
        <v>4203.75</v>
      </c>
    </row>
    <row r="33" spans="1:15" x14ac:dyDescent="0.3">
      <c r="A33" s="2">
        <v>1</v>
      </c>
      <c r="B33" s="2" t="s">
        <v>12</v>
      </c>
      <c r="C33" s="2" t="s">
        <v>37</v>
      </c>
      <c r="D33" s="2" t="s">
        <v>40</v>
      </c>
      <c r="E33" s="2" t="s">
        <v>47</v>
      </c>
      <c r="F33" s="2">
        <v>132</v>
      </c>
      <c r="G33" s="2" t="str">
        <f>VLOOKUP(Table1[[#This Row],[Customer ID]], Sheet2!$A$2:$C$10, 2, FALSE)</f>
        <v>Bankia</v>
      </c>
      <c r="H33" s="2" t="s">
        <v>50</v>
      </c>
      <c r="I33" s="2" t="s">
        <v>56</v>
      </c>
      <c r="J33" s="2" t="s">
        <v>61</v>
      </c>
      <c r="K33" s="2">
        <v>15</v>
      </c>
      <c r="L33" s="2" t="s">
        <v>79</v>
      </c>
      <c r="M33" s="2" t="s">
        <v>86</v>
      </c>
      <c r="N33" s="3" t="str">
        <f>IF(Table1[[#This Row],[Number]]&gt;=22,"y","N")</f>
        <v>N</v>
      </c>
      <c r="O33" s="6" t="str">
        <f>IF(Table1[[#This Row],[Number]]&gt;=20,0.95*Table1[[#This Row],[Total]],Table1[[#This Row],[Total]])</f>
        <v>$3,525</v>
      </c>
    </row>
    <row r="34" spans="1:15" x14ac:dyDescent="0.3">
      <c r="A34" s="2">
        <v>5</v>
      </c>
      <c r="B34" s="2" t="s">
        <v>15</v>
      </c>
      <c r="C34" s="2" t="s">
        <v>37</v>
      </c>
      <c r="D34" s="2" t="s">
        <v>40</v>
      </c>
      <c r="E34" s="2" t="s">
        <v>47</v>
      </c>
      <c r="F34" s="2">
        <v>166</v>
      </c>
      <c r="G34" s="2" t="str">
        <f>VLOOKUP(Table1[[#This Row],[Customer ID]], Sheet2!$A$2:$C$10, 2, FALSE)</f>
        <v>Port Royale</v>
      </c>
      <c r="H34" s="2" t="s">
        <v>53</v>
      </c>
      <c r="I34" s="2" t="s">
        <v>59</v>
      </c>
      <c r="J34" s="2" t="s">
        <v>65</v>
      </c>
      <c r="K34" s="2">
        <v>32</v>
      </c>
      <c r="L34" s="2" t="s">
        <v>81</v>
      </c>
      <c r="M34" s="2" t="s">
        <v>90</v>
      </c>
      <c r="N34" s="3" t="str">
        <f>IF(Table1[[#This Row],[Number]]&gt;=22,"y","N")</f>
        <v>y</v>
      </c>
      <c r="O34" s="6">
        <f>IF(Table1[[#This Row],[Number]]&gt;=20,0.95*Table1[[#This Row],[Total]],Table1[[#This Row],[Total]])</f>
        <v>8968</v>
      </c>
    </row>
    <row r="35" spans="1:15" x14ac:dyDescent="0.3">
      <c r="A35" s="2">
        <v>10</v>
      </c>
      <c r="B35" s="2" t="s">
        <v>19</v>
      </c>
      <c r="C35" s="2" t="s">
        <v>37</v>
      </c>
      <c r="D35" s="2" t="s">
        <v>40</v>
      </c>
      <c r="E35" s="2" t="s">
        <v>47</v>
      </c>
      <c r="F35" s="2">
        <v>166</v>
      </c>
      <c r="G35" s="2" t="str">
        <f>VLOOKUP(Table1[[#This Row],[Customer ID]], Sheet2!$A$2:$C$10, 2, FALSE)</f>
        <v>Port Royale</v>
      </c>
      <c r="H35" s="2" t="s">
        <v>52</v>
      </c>
      <c r="I35" s="2" t="s">
        <v>56</v>
      </c>
      <c r="J35" s="2" t="s">
        <v>63</v>
      </c>
      <c r="K35" s="2">
        <v>28</v>
      </c>
      <c r="L35" s="2" t="s">
        <v>79</v>
      </c>
      <c r="M35" s="2" t="s">
        <v>95</v>
      </c>
      <c r="N35" s="3" t="str">
        <f>IF(Table1[[#This Row],[Number]]&gt;=22,"y","N")</f>
        <v>y</v>
      </c>
      <c r="O35" s="6">
        <f>IF(Table1[[#This Row],[Number]]&gt;=20,0.95*Table1[[#This Row],[Total]],Table1[[#This Row],[Total]])</f>
        <v>6251</v>
      </c>
    </row>
    <row r="36" spans="1:15" x14ac:dyDescent="0.3">
      <c r="A36" s="2">
        <v>13</v>
      </c>
      <c r="B36" s="2" t="s">
        <v>22</v>
      </c>
      <c r="C36" s="2" t="s">
        <v>38</v>
      </c>
      <c r="D36" s="2" t="s">
        <v>40</v>
      </c>
      <c r="E36" s="2" t="s">
        <v>47</v>
      </c>
      <c r="F36" s="2">
        <v>180</v>
      </c>
      <c r="G36" s="2" t="str">
        <f>VLOOKUP(Table1[[#This Row],[Customer ID]], Sheet2!$A$2:$C$10, 2, FALSE)</f>
        <v>Milago</v>
      </c>
      <c r="H36" s="2" t="s">
        <v>54</v>
      </c>
      <c r="I36" s="2" t="s">
        <v>59</v>
      </c>
      <c r="J36" s="2" t="s">
        <v>70</v>
      </c>
      <c r="K36" s="2">
        <v>16</v>
      </c>
      <c r="L36" s="2" t="s">
        <v>81</v>
      </c>
      <c r="M36" s="2" t="s">
        <v>98</v>
      </c>
      <c r="N36" s="3" t="str">
        <f>IF(Table1[[#This Row],[Number]]&gt;=22,"y","N")</f>
        <v>N</v>
      </c>
      <c r="O36" s="6" t="str">
        <f>IF(Table1[[#This Row],[Number]]&gt;=20,0.95*Table1[[#This Row],[Total]],Table1[[#This Row],[Total]])</f>
        <v>$4,720</v>
      </c>
    </row>
    <row r="37" spans="1:15" x14ac:dyDescent="0.3">
      <c r="A37" s="2">
        <v>18</v>
      </c>
      <c r="B37" s="2" t="s">
        <v>27</v>
      </c>
      <c r="C37" s="2" t="s">
        <v>38</v>
      </c>
      <c r="D37" s="2" t="s">
        <v>40</v>
      </c>
      <c r="E37" s="2" t="s">
        <v>47</v>
      </c>
      <c r="F37" s="2">
        <v>136</v>
      </c>
      <c r="G37" s="2" t="str">
        <f>VLOOKUP(Table1[[#This Row],[Customer ID]], Sheet2!$A$2:$C$10, 2, FALSE)</f>
        <v>Telmark</v>
      </c>
      <c r="H37" s="2" t="s">
        <v>51</v>
      </c>
      <c r="I37" s="2" t="s">
        <v>58</v>
      </c>
      <c r="J37" s="2" t="s">
        <v>68</v>
      </c>
      <c r="K37" s="2">
        <v>16</v>
      </c>
      <c r="L37" s="2" t="s">
        <v>80</v>
      </c>
      <c r="M37" s="2" t="s">
        <v>103</v>
      </c>
      <c r="N37" s="3" t="str">
        <f>IF(Table1[[#This Row],[Number]]&gt;=22,"y","N")</f>
        <v>N</v>
      </c>
      <c r="O37" s="6" t="str">
        <f>IF(Table1[[#This Row],[Number]]&gt;=20,0.95*Table1[[#This Row],[Total]],Table1[[#This Row],[Total]])</f>
        <v>$4,160</v>
      </c>
    </row>
    <row r="38" spans="1:15" x14ac:dyDescent="0.3">
      <c r="A38" s="2">
        <v>28</v>
      </c>
      <c r="B38" s="2" t="s">
        <v>35</v>
      </c>
      <c r="C38" s="2" t="s">
        <v>39</v>
      </c>
      <c r="D38" s="2" t="s">
        <v>40</v>
      </c>
      <c r="E38" s="2" t="s">
        <v>47</v>
      </c>
      <c r="F38" s="2">
        <v>144</v>
      </c>
      <c r="G38" s="2" t="str">
        <f>VLOOKUP(Table1[[#This Row],[Customer ID]], Sheet2!$A$2:$C$10, 2, FALSE)</f>
        <v>Affinity</v>
      </c>
      <c r="H38" s="2" t="s">
        <v>53</v>
      </c>
      <c r="I38" s="2" t="s">
        <v>58</v>
      </c>
      <c r="J38" s="2" t="s">
        <v>77</v>
      </c>
      <c r="K38" s="2">
        <v>25</v>
      </c>
      <c r="L38" s="2" t="s">
        <v>81</v>
      </c>
      <c r="M38" s="2" t="s">
        <v>97</v>
      </c>
      <c r="N38" s="3" t="str">
        <f>IF(Table1[[#This Row],[Number]]&gt;=22,"y","N")</f>
        <v>y</v>
      </c>
      <c r="O38" s="6">
        <f>IF(Table1[[#This Row],[Number]]&gt;=20,0.95*Table1[[#This Row],[Total]],Table1[[#This Row],[Total]])</f>
        <v>4203.75</v>
      </c>
    </row>
    <row r="39" spans="1:15" x14ac:dyDescent="0.3">
      <c r="A39" s="2">
        <v>4</v>
      </c>
      <c r="B39" s="2" t="s">
        <v>15</v>
      </c>
      <c r="C39" s="2" t="s">
        <v>37</v>
      </c>
      <c r="D39" s="2" t="s">
        <v>43</v>
      </c>
      <c r="E39" s="2" t="s">
        <v>49</v>
      </c>
      <c r="F39" s="2">
        <v>144</v>
      </c>
      <c r="G39" s="2" t="str">
        <f>VLOOKUP(Table1[[#This Row],[Customer ID]], Sheet2!$A$2:$C$10, 2, FALSE)</f>
        <v>Affinity</v>
      </c>
      <c r="H39" s="2" t="s">
        <v>50</v>
      </c>
      <c r="I39" s="2" t="s">
        <v>58</v>
      </c>
      <c r="J39" s="2" t="s">
        <v>64</v>
      </c>
      <c r="K39" s="2">
        <v>30</v>
      </c>
      <c r="L39" s="2" t="s">
        <v>79</v>
      </c>
      <c r="M39" s="2" t="s">
        <v>89</v>
      </c>
      <c r="N39" s="3" t="str">
        <f>IF(Table1[[#This Row],[Number]]&gt;=22,"y","N")</f>
        <v>y</v>
      </c>
      <c r="O39" s="6">
        <f>IF(Table1[[#This Row],[Number]]&gt;=20,0.95*Table1[[#This Row],[Total]],Table1[[#This Row],[Total]])</f>
        <v>6697.5</v>
      </c>
    </row>
    <row r="40" spans="1:15" x14ac:dyDescent="0.3">
      <c r="A40" s="2">
        <v>12</v>
      </c>
      <c r="B40" s="2" t="s">
        <v>21</v>
      </c>
      <c r="C40" s="2" t="s">
        <v>38</v>
      </c>
      <c r="D40" s="2" t="s">
        <v>43</v>
      </c>
      <c r="E40" s="2" t="s">
        <v>49</v>
      </c>
      <c r="F40" s="2">
        <v>178</v>
      </c>
      <c r="G40" s="2" t="str">
        <f>VLOOKUP(Table1[[#This Row],[Customer ID]], Sheet2!$A$2:$C$10, 2, FALSE)</f>
        <v>Vento</v>
      </c>
      <c r="H40" s="2" t="s">
        <v>53</v>
      </c>
      <c r="I40" s="2" t="s">
        <v>60</v>
      </c>
      <c r="J40" s="2" t="s">
        <v>69</v>
      </c>
      <c r="K40" s="2">
        <v>15</v>
      </c>
      <c r="L40" s="2" t="s">
        <v>79</v>
      </c>
      <c r="M40" s="2" t="s">
        <v>97</v>
      </c>
      <c r="N40" s="3" t="str">
        <f>IF(Table1[[#This Row],[Number]]&gt;=22,"y","N")</f>
        <v>N</v>
      </c>
      <c r="O40" s="6" t="str">
        <f>IF(Table1[[#This Row],[Number]]&gt;=20,0.95*Table1[[#This Row],[Total]],Table1[[#This Row],[Total]])</f>
        <v>$4,425</v>
      </c>
    </row>
    <row r="41" spans="1:15" x14ac:dyDescent="0.3">
      <c r="A41" s="2">
        <v>16</v>
      </c>
      <c r="B41" s="2" t="s">
        <v>25</v>
      </c>
      <c r="C41" s="2" t="s">
        <v>38</v>
      </c>
      <c r="D41" s="2" t="s">
        <v>43</v>
      </c>
      <c r="E41" s="2" t="s">
        <v>49</v>
      </c>
      <c r="F41" s="2">
        <v>166</v>
      </c>
      <c r="G41" s="2" t="str">
        <f>VLOOKUP(Table1[[#This Row],[Customer ID]], Sheet2!$A$2:$C$10, 2, FALSE)</f>
        <v>Port Royale</v>
      </c>
      <c r="H41" s="2" t="s">
        <v>52</v>
      </c>
      <c r="I41" s="2" t="s">
        <v>56</v>
      </c>
      <c r="J41" s="2" t="s">
        <v>63</v>
      </c>
      <c r="K41" s="2">
        <v>28</v>
      </c>
      <c r="L41" s="2" t="s">
        <v>83</v>
      </c>
      <c r="M41" s="2" t="s">
        <v>101</v>
      </c>
      <c r="N41" s="3" t="str">
        <f>IF(Table1[[#This Row],[Number]]&gt;=22,"y","N")</f>
        <v>y</v>
      </c>
      <c r="O41" s="6">
        <f>IF(Table1[[#This Row],[Number]]&gt;=20,0.95*Table1[[#This Row],[Total]],Table1[[#This Row],[Total]])</f>
        <v>9310</v>
      </c>
    </row>
    <row r="42" spans="1:15" x14ac:dyDescent="0.3">
      <c r="A42" s="2">
        <v>21</v>
      </c>
      <c r="B42" s="2" t="s">
        <v>30</v>
      </c>
      <c r="C42" s="2" t="s">
        <v>38</v>
      </c>
      <c r="D42" s="2" t="s">
        <v>43</v>
      </c>
      <c r="E42" s="2" t="s">
        <v>49</v>
      </c>
      <c r="F42" s="2">
        <v>166</v>
      </c>
      <c r="G42" s="2" t="str">
        <f>VLOOKUP(Table1[[#This Row],[Customer ID]], Sheet2!$A$2:$C$10, 2, FALSE)</f>
        <v>Port Royale</v>
      </c>
      <c r="H42" s="2" t="s">
        <v>54</v>
      </c>
      <c r="I42" s="2" t="s">
        <v>59</v>
      </c>
      <c r="J42" s="2" t="s">
        <v>70</v>
      </c>
      <c r="K42" s="2">
        <v>20</v>
      </c>
      <c r="L42" s="2" t="s">
        <v>81</v>
      </c>
      <c r="M42" s="2" t="s">
        <v>105</v>
      </c>
      <c r="N42" s="3" t="str">
        <f>IF(Table1[[#This Row],[Number]]&gt;=22,"y","N")</f>
        <v>N</v>
      </c>
      <c r="O42" s="6">
        <f>IF(Table1[[#This Row],[Number]]&gt;=20,0.95*Table1[[#This Row],[Total]],Table1[[#This Row],[Total]])</f>
        <v>5605</v>
      </c>
    </row>
    <row r="43" spans="1:15" x14ac:dyDescent="0.3">
      <c r="A43" s="2">
        <v>4</v>
      </c>
      <c r="B43" s="2" t="s">
        <v>15</v>
      </c>
      <c r="C43" s="2" t="s">
        <v>37</v>
      </c>
      <c r="D43" s="2" t="s">
        <v>43</v>
      </c>
      <c r="E43" s="2" t="s">
        <v>49</v>
      </c>
      <c r="F43" s="2">
        <v>144</v>
      </c>
      <c r="G43" s="2" t="str">
        <f>VLOOKUP(Table1[[#This Row],[Customer ID]], Sheet2!$A$2:$C$10, 2, FALSE)</f>
        <v>Affinity</v>
      </c>
      <c r="H43" s="2" t="s">
        <v>50</v>
      </c>
      <c r="I43" s="2" t="s">
        <v>58</v>
      </c>
      <c r="J43" s="2" t="s">
        <v>64</v>
      </c>
      <c r="K43" s="2">
        <v>30</v>
      </c>
      <c r="L43" s="2" t="s">
        <v>79</v>
      </c>
      <c r="M43" s="2" t="s">
        <v>89</v>
      </c>
      <c r="N43" s="3" t="str">
        <f>IF(Table1[[#This Row],[Number]]&gt;=22,"y","N")</f>
        <v>y</v>
      </c>
      <c r="O43" s="6">
        <f>IF(Table1[[#This Row],[Number]]&gt;=20,0.95*Table1[[#This Row],[Total]],Table1[[#This Row],[Total]])</f>
        <v>6697.5</v>
      </c>
    </row>
    <row r="44" spans="1:15" x14ac:dyDescent="0.3">
      <c r="A44" s="2">
        <v>12</v>
      </c>
      <c r="B44" s="2" t="s">
        <v>21</v>
      </c>
      <c r="C44" s="2" t="s">
        <v>38</v>
      </c>
      <c r="D44" s="2" t="s">
        <v>43</v>
      </c>
      <c r="E44" s="2" t="s">
        <v>49</v>
      </c>
      <c r="F44" s="2">
        <v>178</v>
      </c>
      <c r="G44" s="2" t="str">
        <f>VLOOKUP(Table1[[#This Row],[Customer ID]], Sheet2!$A$2:$C$10, 2, FALSE)</f>
        <v>Vento</v>
      </c>
      <c r="H44" s="2" t="s">
        <v>53</v>
      </c>
      <c r="I44" s="2" t="s">
        <v>60</v>
      </c>
      <c r="J44" s="2" t="s">
        <v>69</v>
      </c>
      <c r="K44" s="2">
        <v>15</v>
      </c>
      <c r="L44" s="2" t="s">
        <v>79</v>
      </c>
      <c r="M44" s="2" t="s">
        <v>97</v>
      </c>
      <c r="N44" s="3" t="str">
        <f>IF(Table1[[#This Row],[Number]]&gt;=22,"y","N")</f>
        <v>N</v>
      </c>
      <c r="O44" s="6" t="str">
        <f>IF(Table1[[#This Row],[Number]]&gt;=20,0.95*Table1[[#This Row],[Total]],Table1[[#This Row],[Total]])</f>
        <v>$4,425</v>
      </c>
    </row>
    <row r="45" spans="1:15" x14ac:dyDescent="0.3">
      <c r="A45" s="2">
        <v>16</v>
      </c>
      <c r="B45" s="2" t="s">
        <v>25</v>
      </c>
      <c r="C45" s="2" t="s">
        <v>38</v>
      </c>
      <c r="D45" s="2" t="s">
        <v>43</v>
      </c>
      <c r="E45" s="2" t="s">
        <v>49</v>
      </c>
      <c r="F45" s="2">
        <v>166</v>
      </c>
      <c r="G45" s="2" t="str">
        <f>VLOOKUP(Table1[[#This Row],[Customer ID]], Sheet2!$A$2:$C$10, 2, FALSE)</f>
        <v>Port Royale</v>
      </c>
      <c r="H45" s="2" t="s">
        <v>52</v>
      </c>
      <c r="I45" s="2" t="s">
        <v>56</v>
      </c>
      <c r="J45" s="2" t="s">
        <v>63</v>
      </c>
      <c r="K45" s="2">
        <v>28</v>
      </c>
      <c r="L45" s="2" t="s">
        <v>83</v>
      </c>
      <c r="M45" s="2" t="s">
        <v>101</v>
      </c>
      <c r="N45" s="3" t="str">
        <f>IF(Table1[[#This Row],[Number]]&gt;=22,"y","N")</f>
        <v>y</v>
      </c>
      <c r="O45" s="6">
        <f>IF(Table1[[#This Row],[Number]]&gt;=20,0.95*Table1[[#This Row],[Total]],Table1[[#This Row],[Total]])</f>
        <v>9310</v>
      </c>
    </row>
    <row r="46" spans="1:15" x14ac:dyDescent="0.3">
      <c r="A46" s="2">
        <v>21</v>
      </c>
      <c r="B46" s="2" t="s">
        <v>30</v>
      </c>
      <c r="C46" s="2" t="s">
        <v>38</v>
      </c>
      <c r="D46" s="2" t="s">
        <v>43</v>
      </c>
      <c r="E46" s="2" t="s">
        <v>49</v>
      </c>
      <c r="F46" s="2">
        <v>166</v>
      </c>
      <c r="G46" s="2" t="str">
        <f>VLOOKUP(Table1[[#This Row],[Customer ID]], Sheet2!$A$2:$C$10, 2, FALSE)</f>
        <v>Port Royale</v>
      </c>
      <c r="H46" s="2" t="s">
        <v>54</v>
      </c>
      <c r="I46" s="2" t="s">
        <v>59</v>
      </c>
      <c r="J46" s="2" t="s">
        <v>70</v>
      </c>
      <c r="K46" s="2">
        <v>20</v>
      </c>
      <c r="L46" s="2" t="s">
        <v>81</v>
      </c>
      <c r="M46" s="2" t="s">
        <v>105</v>
      </c>
      <c r="N46" s="3" t="str">
        <f>IF(Table1[[#This Row],[Number]]&gt;=22,"y","N")</f>
        <v>N</v>
      </c>
      <c r="O46" s="6">
        <f>IF(Table1[[#This Row],[Number]]&gt;=20,0.95*Table1[[#This Row],[Total]],Table1[[#This Row],[Total]])</f>
        <v>5605</v>
      </c>
    </row>
    <row r="47" spans="1:15" x14ac:dyDescent="0.3">
      <c r="A47" s="2">
        <v>3</v>
      </c>
      <c r="B47" s="2" t="s">
        <v>14</v>
      </c>
      <c r="C47" s="2" t="s">
        <v>37</v>
      </c>
      <c r="D47" s="2" t="s">
        <v>42</v>
      </c>
      <c r="E47" s="2" t="s">
        <v>48</v>
      </c>
      <c r="F47" s="2">
        <v>136</v>
      </c>
      <c r="G47" s="2" t="str">
        <f>VLOOKUP(Table1[[#This Row],[Customer ID]], Sheet2!$A$2:$C$10, 2, FALSE)</f>
        <v>Telmark</v>
      </c>
      <c r="H47" s="2" t="s">
        <v>52</v>
      </c>
      <c r="I47" s="2" t="s">
        <v>56</v>
      </c>
      <c r="J47" s="2" t="s">
        <v>63</v>
      </c>
      <c r="K47" s="2">
        <v>24</v>
      </c>
      <c r="L47" s="2" t="s">
        <v>79</v>
      </c>
      <c r="M47" s="2" t="s">
        <v>88</v>
      </c>
      <c r="N47" s="3" t="str">
        <f>IF(Table1[[#This Row],[Number]]&gt;=22,"y","N")</f>
        <v>y</v>
      </c>
      <c r="O47" s="6">
        <f>IF(Table1[[#This Row],[Number]]&gt;=20,0.95*Table1[[#This Row],[Total]],Table1[[#This Row],[Total]])</f>
        <v>5358</v>
      </c>
    </row>
    <row r="48" spans="1:15" x14ac:dyDescent="0.3">
      <c r="A48" s="2">
        <v>9</v>
      </c>
      <c r="B48" s="2" t="s">
        <v>18</v>
      </c>
      <c r="C48" s="2" t="s">
        <v>37</v>
      </c>
      <c r="D48" s="2" t="s">
        <v>42</v>
      </c>
      <c r="E48" s="2" t="s">
        <v>48</v>
      </c>
      <c r="F48" s="2">
        <v>136</v>
      </c>
      <c r="G48" s="2" t="str">
        <f>VLOOKUP(Table1[[#This Row],[Customer ID]], Sheet2!$A$2:$C$10, 2, FALSE)</f>
        <v>Telmark</v>
      </c>
      <c r="H48" s="2" t="s">
        <v>51</v>
      </c>
      <c r="I48" s="2" t="s">
        <v>58</v>
      </c>
      <c r="J48" s="2" t="s">
        <v>68</v>
      </c>
      <c r="K48" s="2">
        <v>40</v>
      </c>
      <c r="L48" s="2" t="s">
        <v>80</v>
      </c>
      <c r="M48" s="2" t="s">
        <v>94</v>
      </c>
      <c r="N48" s="3" t="str">
        <f>IF(Table1[[#This Row],[Number]]&gt;=22,"y","N")</f>
        <v>y</v>
      </c>
      <c r="O48" s="6">
        <f>IF(Table1[[#This Row],[Number]]&gt;=20,0.95*Table1[[#This Row],[Total]],Table1[[#This Row],[Total]])</f>
        <v>9880</v>
      </c>
    </row>
    <row r="49" spans="1:15" x14ac:dyDescent="0.3">
      <c r="A49" s="2">
        <v>17</v>
      </c>
      <c r="B49" s="2" t="s">
        <v>26</v>
      </c>
      <c r="C49" s="2" t="s">
        <v>38</v>
      </c>
      <c r="D49" s="2" t="s">
        <v>42</v>
      </c>
      <c r="E49" s="2" t="s">
        <v>48</v>
      </c>
      <c r="F49" s="2">
        <v>162</v>
      </c>
      <c r="G49" s="2" t="str">
        <f>VLOOKUP(Table1[[#This Row],[Customer ID]], Sheet2!$A$2:$C$10, 2, FALSE)</f>
        <v>Cruise</v>
      </c>
      <c r="H49" s="2" t="s">
        <v>55</v>
      </c>
      <c r="I49" s="2" t="s">
        <v>57</v>
      </c>
      <c r="J49" s="2" t="s">
        <v>72</v>
      </c>
      <c r="K49" s="2">
        <v>6</v>
      </c>
      <c r="L49" s="2" t="s">
        <v>84</v>
      </c>
      <c r="M49" s="2" t="s">
        <v>102</v>
      </c>
      <c r="N49" s="3" t="str">
        <f>IF(Table1[[#This Row],[Number]]&gt;=22,"y","N")</f>
        <v>N</v>
      </c>
      <c r="O49" s="6" t="str">
        <f>IF(Table1[[#This Row],[Number]]&gt;=20,0.95*Table1[[#This Row],[Total]],Table1[[#This Row],[Total]])</f>
        <v>$1,920</v>
      </c>
    </row>
    <row r="50" spans="1:15" x14ac:dyDescent="0.3">
      <c r="A50" s="2">
        <v>23</v>
      </c>
      <c r="B50" s="2" t="s">
        <v>32</v>
      </c>
      <c r="C50" s="2" t="s">
        <v>39</v>
      </c>
      <c r="D50" s="2" t="s">
        <v>42</v>
      </c>
      <c r="E50" s="2" t="s">
        <v>48</v>
      </c>
      <c r="F50" s="2">
        <v>132</v>
      </c>
      <c r="G50" s="2" t="str">
        <f>VLOOKUP(Table1[[#This Row],[Customer ID]], Sheet2!$A$2:$C$10, 2, FALSE)</f>
        <v>Bankia</v>
      </c>
      <c r="H50" s="2" t="s">
        <v>54</v>
      </c>
      <c r="I50" s="2" t="s">
        <v>56</v>
      </c>
      <c r="J50" s="2" t="s">
        <v>74</v>
      </c>
      <c r="K50" s="2">
        <v>10</v>
      </c>
      <c r="L50" s="2" t="s">
        <v>82</v>
      </c>
      <c r="M50" s="2" t="s">
        <v>107</v>
      </c>
      <c r="N50" s="3" t="str">
        <f>IF(Table1[[#This Row],[Number]]&gt;=22,"y","N")</f>
        <v>N</v>
      </c>
      <c r="O50" s="6" t="str">
        <f>IF(Table1[[#This Row],[Number]]&gt;=20,0.95*Table1[[#This Row],[Total]],Table1[[#This Row],[Total]])</f>
        <v>$3,750</v>
      </c>
    </row>
    <row r="51" spans="1:15" x14ac:dyDescent="0.3">
      <c r="A51" s="2">
        <v>25</v>
      </c>
      <c r="B51" s="2" t="s">
        <v>32</v>
      </c>
      <c r="C51" s="2" t="s">
        <v>39</v>
      </c>
      <c r="D51" s="2" t="s">
        <v>42</v>
      </c>
      <c r="E51" s="2" t="s">
        <v>48</v>
      </c>
      <c r="F51" s="2">
        <v>132</v>
      </c>
      <c r="G51" s="2" t="str">
        <f>VLOOKUP(Table1[[#This Row],[Customer ID]], Sheet2!$A$2:$C$10, 2, FALSE)</f>
        <v>Bankia</v>
      </c>
      <c r="H51" s="2" t="s">
        <v>54</v>
      </c>
      <c r="I51" s="2" t="s">
        <v>56</v>
      </c>
      <c r="J51" s="2" t="s">
        <v>74</v>
      </c>
      <c r="K51" s="2">
        <v>8</v>
      </c>
      <c r="L51" s="2" t="s">
        <v>82</v>
      </c>
      <c r="M51" s="2" t="s">
        <v>109</v>
      </c>
      <c r="N51" s="3" t="str">
        <f>IF(Table1[[#This Row],[Number]]&gt;=22,"y","N")</f>
        <v>N</v>
      </c>
      <c r="O51" s="6" t="str">
        <f>IF(Table1[[#This Row],[Number]]&gt;=20,0.95*Table1[[#This Row],[Total]],Table1[[#This Row],[Total]])</f>
        <v>$3,975</v>
      </c>
    </row>
    <row r="52" spans="1:15" x14ac:dyDescent="0.3">
      <c r="A52" s="2">
        <v>3</v>
      </c>
      <c r="B52" s="2" t="s">
        <v>14</v>
      </c>
      <c r="C52" s="2" t="s">
        <v>37</v>
      </c>
      <c r="D52" s="2" t="s">
        <v>42</v>
      </c>
      <c r="E52" s="2" t="s">
        <v>48</v>
      </c>
      <c r="F52" s="2">
        <v>136</v>
      </c>
      <c r="G52" s="2" t="str">
        <f>VLOOKUP(Table1[[#This Row],[Customer ID]], Sheet2!$A$2:$C$10, 2, FALSE)</f>
        <v>Telmark</v>
      </c>
      <c r="H52" s="2" t="s">
        <v>52</v>
      </c>
      <c r="I52" s="2" t="s">
        <v>56</v>
      </c>
      <c r="J52" s="2" t="s">
        <v>63</v>
      </c>
      <c r="K52" s="2">
        <v>24</v>
      </c>
      <c r="L52" s="2" t="s">
        <v>79</v>
      </c>
      <c r="M52" s="2" t="s">
        <v>88</v>
      </c>
      <c r="N52" s="3" t="str">
        <f>IF(Table1[[#This Row],[Number]]&gt;=22,"y","N")</f>
        <v>y</v>
      </c>
      <c r="O52" s="6">
        <f>IF(Table1[[#This Row],[Number]]&gt;=20,0.95*Table1[[#This Row],[Total]],Table1[[#This Row],[Total]])</f>
        <v>5358</v>
      </c>
    </row>
    <row r="53" spans="1:15" x14ac:dyDescent="0.3">
      <c r="A53" s="2">
        <v>9</v>
      </c>
      <c r="B53" s="2" t="s">
        <v>18</v>
      </c>
      <c r="C53" s="2" t="s">
        <v>37</v>
      </c>
      <c r="D53" s="2" t="s">
        <v>42</v>
      </c>
      <c r="E53" s="2" t="s">
        <v>48</v>
      </c>
      <c r="F53" s="2">
        <v>136</v>
      </c>
      <c r="G53" s="2" t="str">
        <f>VLOOKUP(Table1[[#This Row],[Customer ID]], Sheet2!$A$2:$C$10, 2, FALSE)</f>
        <v>Telmark</v>
      </c>
      <c r="H53" s="2" t="s">
        <v>51</v>
      </c>
      <c r="I53" s="2" t="s">
        <v>58</v>
      </c>
      <c r="J53" s="2" t="s">
        <v>68</v>
      </c>
      <c r="K53" s="2">
        <v>40</v>
      </c>
      <c r="L53" s="2" t="s">
        <v>80</v>
      </c>
      <c r="M53" s="2" t="s">
        <v>94</v>
      </c>
      <c r="N53" s="3" t="str">
        <f>IF(Table1[[#This Row],[Number]]&gt;=22,"y","N")</f>
        <v>y</v>
      </c>
      <c r="O53" s="6">
        <f>IF(Table1[[#This Row],[Number]]&gt;=20,0.95*Table1[[#This Row],[Total]],Table1[[#This Row],[Total]])</f>
        <v>9880</v>
      </c>
    </row>
    <row r="54" spans="1:15" x14ac:dyDescent="0.3">
      <c r="A54" s="2">
        <v>17</v>
      </c>
      <c r="B54" s="2" t="s">
        <v>26</v>
      </c>
      <c r="C54" s="2" t="s">
        <v>38</v>
      </c>
      <c r="D54" s="2" t="s">
        <v>42</v>
      </c>
      <c r="E54" s="2" t="s">
        <v>48</v>
      </c>
      <c r="F54" s="2">
        <v>162</v>
      </c>
      <c r="G54" s="2" t="str">
        <f>VLOOKUP(Table1[[#This Row],[Customer ID]], Sheet2!$A$2:$C$10, 2, FALSE)</f>
        <v>Cruise</v>
      </c>
      <c r="H54" s="2" t="s">
        <v>55</v>
      </c>
      <c r="I54" s="2" t="s">
        <v>57</v>
      </c>
      <c r="J54" s="2" t="s">
        <v>72</v>
      </c>
      <c r="K54" s="2">
        <v>6</v>
      </c>
      <c r="L54" s="2" t="s">
        <v>84</v>
      </c>
      <c r="M54" s="2" t="s">
        <v>102</v>
      </c>
      <c r="N54" s="3" t="str">
        <f>IF(Table1[[#This Row],[Number]]&gt;=22,"y","N")</f>
        <v>N</v>
      </c>
      <c r="O54" s="6" t="str">
        <f>IF(Table1[[#This Row],[Number]]&gt;=20,0.95*Table1[[#This Row],[Total]],Table1[[#This Row],[Total]])</f>
        <v>$1,920</v>
      </c>
    </row>
    <row r="55" spans="1:15" x14ac:dyDescent="0.3">
      <c r="A55" s="2">
        <v>23</v>
      </c>
      <c r="B55" s="2" t="s">
        <v>32</v>
      </c>
      <c r="C55" s="2" t="s">
        <v>39</v>
      </c>
      <c r="D55" s="2" t="s">
        <v>42</v>
      </c>
      <c r="E55" s="2" t="s">
        <v>48</v>
      </c>
      <c r="F55" s="2">
        <v>132</v>
      </c>
      <c r="G55" s="2" t="str">
        <f>VLOOKUP(Table1[[#This Row],[Customer ID]], Sheet2!$A$2:$C$10, 2, FALSE)</f>
        <v>Bankia</v>
      </c>
      <c r="H55" s="2" t="s">
        <v>54</v>
      </c>
      <c r="I55" s="2" t="s">
        <v>56</v>
      </c>
      <c r="J55" s="2" t="s">
        <v>74</v>
      </c>
      <c r="K55" s="2">
        <v>10</v>
      </c>
      <c r="L55" s="2" t="s">
        <v>82</v>
      </c>
      <c r="M55" s="2" t="s">
        <v>107</v>
      </c>
      <c r="N55" s="3" t="str">
        <f>IF(Table1[[#This Row],[Number]]&gt;=22,"y","N")</f>
        <v>N</v>
      </c>
      <c r="O55" s="6" t="str">
        <f>IF(Table1[[#This Row],[Number]]&gt;=20,0.95*Table1[[#This Row],[Total]],Table1[[#This Row],[Total]])</f>
        <v>$3,750</v>
      </c>
    </row>
    <row r="56" spans="1:15" x14ac:dyDescent="0.3">
      <c r="A56" s="2">
        <v>25</v>
      </c>
      <c r="B56" s="2" t="s">
        <v>32</v>
      </c>
      <c r="C56" s="2" t="s">
        <v>39</v>
      </c>
      <c r="D56" s="2" t="s">
        <v>42</v>
      </c>
      <c r="E56" s="2" t="s">
        <v>48</v>
      </c>
      <c r="F56" s="2">
        <v>132</v>
      </c>
      <c r="G56" s="2" t="str">
        <f>VLOOKUP(Table1[[#This Row],[Customer ID]], Sheet2!$A$2:$C$10, 2, FALSE)</f>
        <v>Bankia</v>
      </c>
      <c r="H56" s="2" t="s">
        <v>54</v>
      </c>
      <c r="I56" s="2" t="s">
        <v>56</v>
      </c>
      <c r="J56" s="2" t="s">
        <v>74</v>
      </c>
      <c r="K56" s="2">
        <v>8</v>
      </c>
      <c r="L56" s="2" t="s">
        <v>82</v>
      </c>
      <c r="M56" s="2" t="s">
        <v>109</v>
      </c>
      <c r="N56" s="3" t="str">
        <f>IF(Table1[[#This Row],[Number]]&gt;=22,"y","N")</f>
        <v>N</v>
      </c>
      <c r="O56" s="6" t="str">
        <f>IF(Table1[[#This Row],[Number]]&gt;=20,0.95*Table1[[#This Row],[Total]],Table1[[#This Row],[Total]])</f>
        <v>$3,975</v>
      </c>
    </row>
    <row r="57" spans="1:15" x14ac:dyDescent="0.3">
      <c r="A57" s="2">
        <v>6</v>
      </c>
      <c r="B57" s="2" t="s">
        <v>16</v>
      </c>
      <c r="C57" s="2" t="s">
        <v>37</v>
      </c>
      <c r="D57" s="2" t="s">
        <v>44</v>
      </c>
      <c r="E57" s="2" t="s">
        <v>47</v>
      </c>
      <c r="F57" s="2">
        <v>136</v>
      </c>
      <c r="G57" s="2" t="str">
        <f>VLOOKUP(Table1[[#This Row],[Customer ID]], Sheet2!$A$2:$C$10, 2, FALSE)</f>
        <v>Telmark</v>
      </c>
      <c r="H57" s="2" t="s">
        <v>52</v>
      </c>
      <c r="I57" s="2" t="s">
        <v>58</v>
      </c>
      <c r="J57" s="2" t="s">
        <v>66</v>
      </c>
      <c r="K57" s="2">
        <v>14</v>
      </c>
      <c r="L57" s="2" t="s">
        <v>79</v>
      </c>
      <c r="M57" s="2" t="s">
        <v>91</v>
      </c>
      <c r="N57" s="3" t="str">
        <f>IF(Table1[[#This Row],[Number]]&gt;=22,"y","N")</f>
        <v>N</v>
      </c>
      <c r="O57" s="6" t="str">
        <f>IF(Table1[[#This Row],[Number]]&gt;=20,0.95*Table1[[#This Row],[Total]],Table1[[#This Row],[Total]])</f>
        <v>$3,290</v>
      </c>
    </row>
    <row r="58" spans="1:15" x14ac:dyDescent="0.3">
      <c r="A58" s="2">
        <v>22</v>
      </c>
      <c r="B58" s="2" t="s">
        <v>31</v>
      </c>
      <c r="C58" s="2" t="s">
        <v>38</v>
      </c>
      <c r="D58" s="2" t="s">
        <v>44</v>
      </c>
      <c r="E58" s="2" t="s">
        <v>47</v>
      </c>
      <c r="F58" s="2">
        <v>144</v>
      </c>
      <c r="G58" s="2" t="str">
        <f>VLOOKUP(Table1[[#This Row],[Customer ID]], Sheet2!$A$2:$C$10, 2, FALSE)</f>
        <v>Affinity</v>
      </c>
      <c r="H58" s="2" t="s">
        <v>52</v>
      </c>
      <c r="I58" s="2" t="s">
        <v>58</v>
      </c>
      <c r="J58" s="2" t="s">
        <v>66</v>
      </c>
      <c r="K58" s="2">
        <v>10</v>
      </c>
      <c r="L58" s="2" t="s">
        <v>83</v>
      </c>
      <c r="M58" s="2" t="s">
        <v>106</v>
      </c>
      <c r="N58" s="3" t="str">
        <f>IF(Table1[[#This Row],[Number]]&gt;=22,"y","N")</f>
        <v>N</v>
      </c>
      <c r="O58" s="6" t="str">
        <f>IF(Table1[[#This Row],[Number]]&gt;=20,0.95*Table1[[#This Row],[Total]],Table1[[#This Row],[Total]])</f>
        <v>$3,500</v>
      </c>
    </row>
    <row r="59" spans="1:15" x14ac:dyDescent="0.3">
      <c r="A59" s="2">
        <v>29</v>
      </c>
      <c r="B59" s="2" t="s">
        <v>36</v>
      </c>
      <c r="C59" s="2" t="s">
        <v>39</v>
      </c>
      <c r="D59" s="2" t="s">
        <v>44</v>
      </c>
      <c r="E59" s="2" t="s">
        <v>47</v>
      </c>
      <c r="F59" s="2">
        <v>166</v>
      </c>
      <c r="G59" s="2" t="str">
        <f>VLOOKUP(Table1[[#This Row],[Customer ID]], Sheet2!$A$2:$C$10, 2, FALSE)</f>
        <v>Port Royale</v>
      </c>
      <c r="H59" s="2" t="s">
        <v>55</v>
      </c>
      <c r="I59" s="2" t="s">
        <v>60</v>
      </c>
      <c r="J59" s="2" t="s">
        <v>78</v>
      </c>
      <c r="K59" s="2">
        <v>10</v>
      </c>
      <c r="L59" s="2" t="s">
        <v>85</v>
      </c>
      <c r="M59" s="2" t="s">
        <v>110</v>
      </c>
      <c r="N59" s="3" t="str">
        <f>IF(Table1[[#This Row],[Number]]&gt;=22,"y","N")</f>
        <v>N</v>
      </c>
      <c r="O59" s="6" t="str">
        <f>IF(Table1[[#This Row],[Number]]&gt;=20,0.95*Table1[[#This Row],[Total]],Table1[[#This Row],[Total]])</f>
        <v>$2,200</v>
      </c>
    </row>
    <row r="60" spans="1:15" x14ac:dyDescent="0.3">
      <c r="A60" s="2">
        <v>6</v>
      </c>
      <c r="B60" s="2" t="s">
        <v>16</v>
      </c>
      <c r="C60" s="2" t="s">
        <v>37</v>
      </c>
      <c r="D60" s="2" t="s">
        <v>44</v>
      </c>
      <c r="E60" s="2" t="s">
        <v>47</v>
      </c>
      <c r="F60" s="2">
        <v>136</v>
      </c>
      <c r="G60" s="2" t="str">
        <f>VLOOKUP(Table1[[#This Row],[Customer ID]], Sheet2!$A$2:$C$10, 2, FALSE)</f>
        <v>Telmark</v>
      </c>
      <c r="H60" s="2" t="s">
        <v>52</v>
      </c>
      <c r="I60" s="2" t="s">
        <v>58</v>
      </c>
      <c r="J60" s="2" t="s">
        <v>66</v>
      </c>
      <c r="K60" s="2">
        <v>14</v>
      </c>
      <c r="L60" s="2" t="s">
        <v>79</v>
      </c>
      <c r="M60" s="2" t="s">
        <v>91</v>
      </c>
      <c r="N60" s="3" t="str">
        <f>IF(Table1[[#This Row],[Number]]&gt;=22,"y","N")</f>
        <v>N</v>
      </c>
      <c r="O60" s="6" t="str">
        <f>IF(Table1[[#This Row],[Number]]&gt;=20,0.95*Table1[[#This Row],[Total]],Table1[[#This Row],[Total]])</f>
        <v>$3,290</v>
      </c>
    </row>
    <row r="61" spans="1:15" x14ac:dyDescent="0.3">
      <c r="A61" s="2">
        <v>22</v>
      </c>
      <c r="B61" s="2" t="s">
        <v>31</v>
      </c>
      <c r="C61" s="2" t="s">
        <v>38</v>
      </c>
      <c r="D61" s="2" t="s">
        <v>44</v>
      </c>
      <c r="E61" s="2" t="s">
        <v>47</v>
      </c>
      <c r="F61" s="2">
        <v>144</v>
      </c>
      <c r="G61" s="2" t="str">
        <f>VLOOKUP(Table1[[#This Row],[Customer ID]], Sheet2!$A$2:$C$10, 2, FALSE)</f>
        <v>Affinity</v>
      </c>
      <c r="H61" s="2" t="s">
        <v>52</v>
      </c>
      <c r="I61" s="2" t="s">
        <v>58</v>
      </c>
      <c r="J61" s="2" t="s">
        <v>66</v>
      </c>
      <c r="K61" s="2">
        <v>10</v>
      </c>
      <c r="L61" s="2" t="s">
        <v>83</v>
      </c>
      <c r="M61" s="2" t="s">
        <v>106</v>
      </c>
      <c r="N61" s="3" t="str">
        <f>IF(Table1[[#This Row],[Number]]&gt;=22,"y","N")</f>
        <v>N</v>
      </c>
      <c r="O61" s="6" t="str">
        <f>IF(Table1[[#This Row],[Number]]&gt;=20,0.95*Table1[[#This Row],[Total]],Table1[[#This Row],[Total]])</f>
        <v>$3,500</v>
      </c>
    </row>
    <row r="62" spans="1:15" x14ac:dyDescent="0.3">
      <c r="A62" s="2">
        <v>29</v>
      </c>
      <c r="B62" s="2" t="s">
        <v>36</v>
      </c>
      <c r="C62" s="2" t="s">
        <v>39</v>
      </c>
      <c r="D62" s="2" t="s">
        <v>44</v>
      </c>
      <c r="E62" s="2" t="s">
        <v>47</v>
      </c>
      <c r="F62" s="2">
        <v>166</v>
      </c>
      <c r="G62" s="2" t="str">
        <f>VLOOKUP(Table1[[#This Row],[Customer ID]], Sheet2!$A$2:$C$10, 2, FALSE)</f>
        <v>Port Royale</v>
      </c>
      <c r="H62" s="2" t="s">
        <v>55</v>
      </c>
      <c r="I62" s="2" t="s">
        <v>60</v>
      </c>
      <c r="J62" s="2" t="s">
        <v>78</v>
      </c>
      <c r="K62" s="2">
        <v>10</v>
      </c>
      <c r="L62" s="2" t="s">
        <v>85</v>
      </c>
      <c r="M62" s="2" t="s">
        <v>110</v>
      </c>
      <c r="N62" s="3" t="str">
        <f>IF(Table1[[#This Row],[Number]]&gt;=22,"y","N")</f>
        <v>N</v>
      </c>
      <c r="O62" s="6" t="str">
        <f>IF(Table1[[#This Row],[Number]]&gt;=20,0.95*Table1[[#This Row],[Total]],Table1[[#This Row],[Total]])</f>
        <v>$2,200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A48F-33F1-4FEA-919F-1BF2781A7AEB}">
  <dimension ref="A1:C10"/>
  <sheetViews>
    <sheetView workbookViewId="0">
      <selection activeCell="G23" sqref="G23"/>
    </sheetView>
  </sheetViews>
  <sheetFormatPr defaultRowHeight="14.4" x14ac:dyDescent="0.3"/>
  <cols>
    <col min="1" max="1" width="23.88671875" customWidth="1"/>
    <col min="2" max="2" width="20.44140625" customWidth="1"/>
    <col min="3" max="3" width="18.6640625" customWidth="1"/>
  </cols>
  <sheetData>
    <row r="1" spans="1:3" x14ac:dyDescent="0.3">
      <c r="A1" s="8" t="s">
        <v>5</v>
      </c>
      <c r="B1" s="8" t="s">
        <v>115</v>
      </c>
      <c r="C1" s="8" t="s">
        <v>116</v>
      </c>
    </row>
    <row r="2" spans="1:3" x14ac:dyDescent="0.3">
      <c r="A2" s="9">
        <v>132</v>
      </c>
      <c r="B2" s="9" t="s">
        <v>117</v>
      </c>
      <c r="C2" s="9" t="s">
        <v>118</v>
      </c>
    </row>
    <row r="3" spans="1:3" x14ac:dyDescent="0.3">
      <c r="A3" s="9">
        <v>136</v>
      </c>
      <c r="B3" s="9" t="s">
        <v>119</v>
      </c>
      <c r="C3" s="9" t="s">
        <v>120</v>
      </c>
    </row>
    <row r="4" spans="1:3" x14ac:dyDescent="0.3">
      <c r="A4" s="9">
        <v>144</v>
      </c>
      <c r="B4" s="9" t="s">
        <v>121</v>
      </c>
      <c r="C4" s="9" t="s">
        <v>122</v>
      </c>
    </row>
    <row r="5" spans="1:3" x14ac:dyDescent="0.3">
      <c r="A5" s="9">
        <v>152</v>
      </c>
      <c r="B5" s="9" t="s">
        <v>123</v>
      </c>
      <c r="C5" s="9" t="s">
        <v>124</v>
      </c>
    </row>
    <row r="6" spans="1:3" x14ac:dyDescent="0.3">
      <c r="A6" s="9">
        <v>157</v>
      </c>
      <c r="B6" s="9" t="s">
        <v>125</v>
      </c>
      <c r="C6" s="9" t="s">
        <v>126</v>
      </c>
    </row>
    <row r="7" spans="1:3" x14ac:dyDescent="0.3">
      <c r="A7" s="9">
        <v>162</v>
      </c>
      <c r="B7" s="9" t="s">
        <v>127</v>
      </c>
      <c r="C7" s="9" t="s">
        <v>128</v>
      </c>
    </row>
    <row r="8" spans="1:3" x14ac:dyDescent="0.3">
      <c r="A8" s="9">
        <v>166</v>
      </c>
      <c r="B8" s="9" t="s">
        <v>129</v>
      </c>
      <c r="C8" s="9" t="s">
        <v>130</v>
      </c>
    </row>
    <row r="9" spans="1:3" x14ac:dyDescent="0.3">
      <c r="A9" s="9">
        <v>178</v>
      </c>
      <c r="B9" s="9" t="s">
        <v>131</v>
      </c>
      <c r="C9" s="9" t="s">
        <v>132</v>
      </c>
    </row>
    <row r="10" spans="1:3" x14ac:dyDescent="0.3">
      <c r="A10" s="9">
        <v>180</v>
      </c>
      <c r="B10" s="9" t="s">
        <v>133</v>
      </c>
      <c r="C10" s="9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2A20-32A9-4552-9A5D-0619DE9B7095}">
  <dimension ref="A3:H8"/>
  <sheetViews>
    <sheetView workbookViewId="0">
      <selection activeCell="A3" sqref="A3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4" width="6.77734375" bestFit="1" customWidth="1"/>
    <col min="5" max="5" width="5.21875" bestFit="1" customWidth="1"/>
    <col min="6" max="6" width="6.21875" bestFit="1" customWidth="1"/>
    <col min="7" max="7" width="4.44140625" bestFit="1" customWidth="1"/>
    <col min="8" max="8" width="10.77734375" bestFit="1" customWidth="1"/>
  </cols>
  <sheetData>
    <row r="3" spans="1:8" x14ac:dyDescent="0.3">
      <c r="A3" s="10" t="s">
        <v>139</v>
      </c>
      <c r="B3" s="10" t="s">
        <v>138</v>
      </c>
    </row>
    <row r="4" spans="1:8" x14ac:dyDescent="0.3">
      <c r="A4" s="10" t="s">
        <v>136</v>
      </c>
      <c r="B4" s="7" t="s">
        <v>55</v>
      </c>
      <c r="C4" s="7" t="s">
        <v>54</v>
      </c>
      <c r="D4" s="7" t="s">
        <v>52</v>
      </c>
      <c r="E4" s="7" t="s">
        <v>50</v>
      </c>
      <c r="F4" s="7" t="s">
        <v>51</v>
      </c>
      <c r="G4" s="7" t="s">
        <v>53</v>
      </c>
      <c r="H4" s="7" t="s">
        <v>137</v>
      </c>
    </row>
    <row r="5" spans="1:8" x14ac:dyDescent="0.3">
      <c r="A5" s="11" t="s">
        <v>38</v>
      </c>
      <c r="B5" s="12">
        <v>12</v>
      </c>
      <c r="C5" s="12">
        <v>72</v>
      </c>
      <c r="D5" s="12">
        <v>86</v>
      </c>
      <c r="E5" s="12">
        <v>28</v>
      </c>
      <c r="F5" s="12">
        <v>104</v>
      </c>
      <c r="G5" s="12">
        <v>60</v>
      </c>
      <c r="H5" s="12">
        <v>362</v>
      </c>
    </row>
    <row r="6" spans="1:8" x14ac:dyDescent="0.3">
      <c r="A6" s="11" t="s">
        <v>37</v>
      </c>
      <c r="B6" s="12"/>
      <c r="C6" s="12">
        <v>16</v>
      </c>
      <c r="D6" s="12">
        <v>198</v>
      </c>
      <c r="E6" s="12">
        <v>134</v>
      </c>
      <c r="F6" s="12">
        <v>124</v>
      </c>
      <c r="G6" s="12">
        <v>64</v>
      </c>
      <c r="H6" s="12">
        <v>536</v>
      </c>
    </row>
    <row r="7" spans="1:8" x14ac:dyDescent="0.3">
      <c r="A7" s="11" t="s">
        <v>39</v>
      </c>
      <c r="B7" s="12">
        <v>20</v>
      </c>
      <c r="C7" s="12">
        <v>36</v>
      </c>
      <c r="D7" s="12"/>
      <c r="E7" s="12">
        <v>44</v>
      </c>
      <c r="F7" s="12">
        <v>200</v>
      </c>
      <c r="G7" s="12">
        <v>50</v>
      </c>
      <c r="H7" s="12">
        <v>350</v>
      </c>
    </row>
    <row r="8" spans="1:8" x14ac:dyDescent="0.3">
      <c r="A8" s="11" t="s">
        <v>137</v>
      </c>
      <c r="B8" s="12">
        <v>32</v>
      </c>
      <c r="C8" s="12">
        <v>124</v>
      </c>
      <c r="D8" s="12">
        <v>284</v>
      </c>
      <c r="E8" s="12">
        <v>206</v>
      </c>
      <c r="F8" s="12">
        <v>428</v>
      </c>
      <c r="G8" s="12">
        <v>174</v>
      </c>
      <c r="H8" s="12">
        <v>1248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sanskriti sharma</cp:lastModifiedBy>
  <dcterms:created xsi:type="dcterms:W3CDTF">2025-05-01T17:14:49Z</dcterms:created>
  <dcterms:modified xsi:type="dcterms:W3CDTF">2025-05-01T18:57:09Z</dcterms:modified>
</cp:coreProperties>
</file>